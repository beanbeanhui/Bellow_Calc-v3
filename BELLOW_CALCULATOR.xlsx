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ryogascommy01-my.sharepoint.com/personal/tang_jieqii_csm-cryogenic_com/Documents/WK9/BELLOW CALCULATOR/"/>
    </mc:Choice>
  </mc:AlternateContent>
  <xr:revisionPtr revIDLastSave="235" documentId="8_{349E2FD1-96D8-49EE-800F-7C0C0887FFE4}" xr6:coauthVersionLast="47" xr6:coauthVersionMax="47" xr10:uidLastSave="{ECC0FEB9-5809-46FB-BE15-45C906CA182F}"/>
  <bookViews>
    <workbookView xWindow="10580" yWindow="0" windowWidth="9990" windowHeight="10080" xr2:uid="{824D7D78-0242-428D-B77C-D6DC0F5C6D98}"/>
  </bookViews>
  <sheets>
    <sheet name="Sheet1" sheetId="1" r:id="rId1"/>
    <sheet name="Properties of LN2" sheetId="2" r:id="rId2"/>
    <sheet name="Vapor Data" sheetId="5" state="hidden" r:id="rId3"/>
    <sheet name="Alt LN2 Properties" sheetId="3" state="hidden" r:id="rId4"/>
    <sheet name="Constants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31" i="1" l="1"/>
  <c r="H11" i="1"/>
  <c r="R122" i="2"/>
  <c r="R120" i="2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L113" i="4"/>
  <c r="L114" i="4"/>
  <c r="L115" i="4"/>
  <c r="L116" i="4"/>
  <c r="L117" i="4"/>
  <c r="L118" i="4"/>
  <c r="L119" i="4"/>
  <c r="L2" i="4"/>
  <c r="H16" i="4"/>
  <c r="H17" i="4" s="1"/>
  <c r="M5" i="1" s="1"/>
  <c r="K7" i="1"/>
  <c r="K8" i="1"/>
  <c r="K9" i="1"/>
  <c r="K10" i="1"/>
  <c r="K11" i="1"/>
  <c r="K14" i="1"/>
  <c r="K21" i="1"/>
  <c r="K22" i="1"/>
  <c r="K23" i="1"/>
  <c r="K26" i="1"/>
  <c r="J5" i="1"/>
  <c r="J6" i="1"/>
  <c r="J11" i="1"/>
  <c r="J12" i="1"/>
  <c r="J13" i="1"/>
  <c r="J14" i="1"/>
  <c r="J17" i="1"/>
  <c r="J18" i="1"/>
  <c r="J23" i="1"/>
  <c r="J24" i="1"/>
  <c r="J25" i="1"/>
  <c r="J26" i="1"/>
  <c r="J29" i="1"/>
  <c r="J30" i="1"/>
  <c r="I10" i="1"/>
  <c r="I11" i="1"/>
  <c r="I12" i="1"/>
  <c r="I13" i="1"/>
  <c r="I14" i="1"/>
  <c r="I22" i="1"/>
  <c r="I23" i="1"/>
  <c r="I24" i="1"/>
  <c r="I25" i="1"/>
  <c r="I26" i="1"/>
  <c r="I28" i="1"/>
  <c r="H32" i="1"/>
  <c r="J32" i="1" s="1"/>
  <c r="H33" i="1"/>
  <c r="J33" i="1" s="1"/>
  <c r="H31" i="1"/>
  <c r="J31" i="1" s="1"/>
  <c r="H29" i="1"/>
  <c r="I29" i="1" s="1"/>
  <c r="H30" i="1"/>
  <c r="K30" i="1" s="1"/>
  <c r="H28" i="1"/>
  <c r="K28" i="1" s="1"/>
  <c r="H27" i="1"/>
  <c r="K27" i="1" s="1"/>
  <c r="H26" i="1"/>
  <c r="H25" i="1"/>
  <c r="K25" i="1" s="1"/>
  <c r="H23" i="1"/>
  <c r="H24" i="1"/>
  <c r="K24" i="1" s="1"/>
  <c r="H22" i="1"/>
  <c r="J22" i="1" s="1"/>
  <c r="H21" i="1"/>
  <c r="J21" i="1" s="1"/>
  <c r="H17" i="1"/>
  <c r="I17" i="1" s="1"/>
  <c r="H19" i="1"/>
  <c r="J19" i="1" s="1"/>
  <c r="H20" i="1"/>
  <c r="K20" i="1" s="1"/>
  <c r="H18" i="1"/>
  <c r="I18" i="1" s="1"/>
  <c r="H15" i="1"/>
  <c r="J15" i="1" s="1"/>
  <c r="H16" i="1"/>
  <c r="K16" i="1" s="1"/>
  <c r="H14" i="1"/>
  <c r="H13" i="1"/>
  <c r="K13" i="1" s="1"/>
  <c r="H12" i="1"/>
  <c r="K12" i="1" s="1"/>
  <c r="H10" i="1"/>
  <c r="J10" i="1" s="1"/>
  <c r="H9" i="1"/>
  <c r="J9" i="1" s="1"/>
  <c r="H8" i="1"/>
  <c r="J8" i="1" s="1"/>
  <c r="H7" i="1"/>
  <c r="J7" i="1" s="1"/>
  <c r="H6" i="1"/>
  <c r="I6" i="1" s="1"/>
  <c r="H5" i="1"/>
  <c r="K5" i="1" s="1"/>
  <c r="H3" i="1"/>
  <c r="I3" i="1" s="1"/>
  <c r="H4" i="1"/>
  <c r="J4" i="1" s="1"/>
  <c r="H2" i="1"/>
  <c r="J2" i="1" s="1"/>
  <c r="I27" i="1" l="1"/>
  <c r="J28" i="1"/>
  <c r="J27" i="1"/>
  <c r="K2" i="1"/>
  <c r="K6" i="1"/>
  <c r="K17" i="1"/>
  <c r="K4" i="1"/>
  <c r="P4" i="1" s="1"/>
  <c r="I4" i="1"/>
  <c r="N4" i="1" s="1"/>
  <c r="I20" i="1"/>
  <c r="N20" i="1" s="1"/>
  <c r="I8" i="1"/>
  <c r="K15" i="1"/>
  <c r="P15" i="1" s="1"/>
  <c r="K3" i="1"/>
  <c r="P3" i="1" s="1"/>
  <c r="J3" i="1"/>
  <c r="K19" i="1"/>
  <c r="K18" i="1"/>
  <c r="I21" i="1"/>
  <c r="N21" i="1" s="1"/>
  <c r="I9" i="1"/>
  <c r="I30" i="1"/>
  <c r="I5" i="1"/>
  <c r="N5" i="1" s="1"/>
  <c r="J20" i="1"/>
  <c r="I16" i="1"/>
  <c r="N16" i="1" s="1"/>
  <c r="I15" i="1"/>
  <c r="N15" i="1" s="1"/>
  <c r="J16" i="1"/>
  <c r="O16" i="1" s="1"/>
  <c r="K29" i="1"/>
  <c r="P29" i="1" s="1"/>
  <c r="I2" i="1"/>
  <c r="I19" i="1"/>
  <c r="I7" i="1"/>
  <c r="I33" i="1"/>
  <c r="N33" i="1" s="1"/>
  <c r="I32" i="1"/>
  <c r="N32" i="1" s="1"/>
  <c r="K33" i="1"/>
  <c r="P33" i="1" s="1"/>
  <c r="I31" i="1"/>
  <c r="N31" i="1" s="1"/>
  <c r="K31" i="1"/>
  <c r="P31" i="1" s="1"/>
  <c r="K32" i="1"/>
  <c r="P32" i="1" s="1"/>
  <c r="N6" i="1"/>
  <c r="P17" i="1"/>
  <c r="P22" i="1"/>
  <c r="O24" i="1"/>
  <c r="O30" i="1"/>
  <c r="O13" i="1"/>
  <c r="P20" i="1"/>
  <c r="P18" i="1"/>
  <c r="O9" i="1"/>
  <c r="P16" i="1"/>
  <c r="O5" i="1"/>
  <c r="P6" i="1"/>
  <c r="N7" i="1"/>
  <c r="N29" i="1"/>
  <c r="N22" i="1"/>
  <c r="P21" i="1"/>
  <c r="O12" i="1"/>
  <c r="N28" i="1"/>
  <c r="O8" i="1"/>
  <c r="O29" i="1"/>
  <c r="P19" i="1"/>
  <c r="N26" i="1"/>
  <c r="O31" i="1"/>
  <c r="P14" i="1"/>
  <c r="P12" i="1"/>
  <c r="P11" i="1"/>
  <c r="P10" i="1"/>
  <c r="N18" i="1"/>
  <c r="P30" i="1"/>
  <c r="P5" i="1"/>
  <c r="O20" i="1"/>
  <c r="N2" i="1"/>
  <c r="N11" i="1"/>
  <c r="N30" i="1"/>
  <c r="O2" i="1"/>
  <c r="O32" i="1"/>
  <c r="N25" i="1"/>
  <c r="N24" i="1"/>
  <c r="P13" i="1"/>
  <c r="O4" i="1"/>
  <c r="O3" i="1"/>
  <c r="O26" i="1"/>
  <c r="O25" i="1"/>
  <c r="P8" i="1"/>
  <c r="O22" i="1"/>
  <c r="O21" i="1"/>
  <c r="N14" i="1"/>
  <c r="N12" i="1"/>
  <c r="N9" i="1"/>
  <c r="P23" i="1"/>
  <c r="O11" i="1"/>
  <c r="O33" i="1"/>
  <c r="O7" i="1"/>
  <c r="O6" i="1"/>
  <c r="N23" i="1"/>
  <c r="O28" i="1"/>
  <c r="O27" i="1"/>
  <c r="N19" i="1"/>
  <c r="P9" i="1"/>
  <c r="P28" i="1"/>
  <c r="O18" i="1"/>
  <c r="P25" i="1"/>
  <c r="O15" i="1"/>
  <c r="N8" i="1"/>
  <c r="O14" i="1"/>
  <c r="P26" i="1"/>
  <c r="N17" i="1"/>
  <c r="P7" i="1"/>
  <c r="O23" i="1"/>
  <c r="M3" i="1"/>
  <c r="N13" i="1"/>
  <c r="P27" i="1"/>
  <c r="P2" i="1"/>
  <c r="O19" i="1"/>
  <c r="N10" i="1"/>
  <c r="O17" i="1"/>
  <c r="P24" i="1"/>
  <c r="N27" i="1"/>
  <c r="N3" i="1"/>
  <c r="O10" i="1"/>
  <c r="M2" i="1"/>
  <c r="M25" i="1"/>
  <c r="M26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33" i="1"/>
  <c r="M9" i="1"/>
  <c r="M32" i="1"/>
  <c r="M8" i="1"/>
  <c r="M7" i="1"/>
  <c r="M30" i="1"/>
  <c r="M6" i="1"/>
  <c r="M29" i="1"/>
  <c r="M28" i="1"/>
  <c r="M4" i="1"/>
  <c r="M2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Jie Qii - CSM</author>
  </authors>
  <commentList>
    <comment ref="E19" authorId="0" shapeId="0" xr:uid="{BE5E1843-1AAF-4124-9769-5B237CAD5882}">
      <text>
        <r>
          <rPr>
            <b/>
            <sz val="9"/>
            <color indexed="81"/>
            <rFont val="Tahoma"/>
            <charset val="1"/>
          </rPr>
          <t>Jie Qii - CSM:</t>
        </r>
        <r>
          <rPr>
            <sz val="9"/>
            <color indexed="81"/>
            <rFont val="Tahoma"/>
            <charset val="1"/>
          </rPr>
          <t xml:space="preserve">
0.67</t>
        </r>
      </text>
    </comment>
    <comment ref="F31" authorId="0" shapeId="0" xr:uid="{759DE452-C17D-4AFD-A6D9-0B52A8F52B82}">
      <text>
        <r>
          <rPr>
            <b/>
            <sz val="9"/>
            <color indexed="81"/>
            <rFont val="Tahoma"/>
            <charset val="1"/>
          </rPr>
          <t>Jie Qii - CSM:</t>
        </r>
        <r>
          <rPr>
            <sz val="9"/>
            <color indexed="81"/>
            <rFont val="Tahoma"/>
            <charset val="1"/>
          </rPr>
          <t xml:space="preserve">
Original excel wrote 1.25.
Updated value 0.9</t>
        </r>
      </text>
    </comment>
  </commentList>
</comments>
</file>

<file path=xl/sharedStrings.xml><?xml version="1.0" encoding="utf-8"?>
<sst xmlns="http://schemas.openxmlformats.org/spreadsheetml/2006/main" count="2050" uniqueCount="108">
  <si>
    <t>Liquid Phase Data</t>
  </si>
  <si>
    <t>Data on Saturation Curve</t>
  </si>
  <si>
    <t>Temperature (K)</t>
  </si>
  <si>
    <t>Pressure (bar)</t>
  </si>
  <si>
    <t>Density (mol/l)</t>
  </si>
  <si>
    <t>Volume (l/mol)</t>
  </si>
  <si>
    <t>Internal Energy (kJ/mol)</t>
  </si>
  <si>
    <t>Enthalpy (kJ/mol)</t>
  </si>
  <si>
    <t>Entropy (J/mol*K)</t>
  </si>
  <si>
    <t>Cv (J/mol*K)</t>
  </si>
  <si>
    <t>Cp (J/mol*K)</t>
  </si>
  <si>
    <t>Sound Spd. (m/s)</t>
  </si>
  <si>
    <t>Joule-Thomson (K/bar)</t>
  </si>
  <si>
    <t>Viscosity (uPa*s)</t>
  </si>
  <si>
    <t>Therm. Cond. (W/m*K)</t>
  </si>
  <si>
    <t>Surf. Tension (N/m)</t>
  </si>
  <si>
    <t>Phase</t>
  </si>
  <si>
    <t>liquid</t>
  </si>
  <si>
    <t>undefined</t>
  </si>
  <si>
    <t>Vapor Phase Data</t>
  </si>
  <si>
    <t>vapor</t>
  </si>
  <si>
    <t>vapo</t>
  </si>
  <si>
    <t xml:space="preserve">No. </t>
  </si>
  <si>
    <t>Bayonet Type</t>
  </si>
  <si>
    <t>Process Size</t>
  </si>
  <si>
    <t>Description</t>
  </si>
  <si>
    <t>Corrugation (W)</t>
  </si>
  <si>
    <t>-</t>
  </si>
  <si>
    <t>BAO 14.6 X 22 X 2 X 0.10 X 10W, B-CUFF 20 MM</t>
  </si>
  <si>
    <t>BAO 14.6 X 22 X 2 X 0.10 X 20W, B-CUFF 20 MM</t>
  </si>
  <si>
    <t>BAO 14.6 X 22 X 2 X 0.10 X 50W, B-CUFF 20 MM</t>
  </si>
  <si>
    <t>C05</t>
  </si>
  <si>
    <t>R05T</t>
  </si>
  <si>
    <t>BAO 18,0 X 28,0 X 2 X 0,15 4W, B-CUFF 25MM</t>
  </si>
  <si>
    <t>BAO 18,0 X 28,0 X 2 X 0,15 12W, B-CUFF 25MM</t>
  </si>
  <si>
    <t>BAO 18,0 X 28,0 X 2 X 0,15 27W, B-CUFF 25MM</t>
  </si>
  <si>
    <t>BAO 18,0 X 28,0 X 2 X 0,15 54W, B-CUFF 25MM</t>
  </si>
  <si>
    <t>C10</t>
  </si>
  <si>
    <t>R10T</t>
  </si>
  <si>
    <t>BAO 27,0 X 41,0 X 2 X 0,15 5W, B-CUFF 37.5MM</t>
  </si>
  <si>
    <t>BAO 27,0 X 41,0 X 2 X 0,15 16W, B-CUFF 37.5MM</t>
  </si>
  <si>
    <t>BAO 27,0 X 41,0 X 2 X 0,15 35W, B-CUFF 37.5MM</t>
  </si>
  <si>
    <t>C15</t>
  </si>
  <si>
    <t>R15T</t>
  </si>
  <si>
    <t>BAO 34,0 X 50,0 X 2 X 0,20 5W, B-CUFF 47MM</t>
  </si>
  <si>
    <t>BAO 34,0 X 50,0 X 2 X 0,20 10W, B-CUFF 47MM</t>
  </si>
  <si>
    <t>BAO 34,0 X 50,0 X 2 X 0,20 15W, B-CUFF 47MM</t>
  </si>
  <si>
    <t>BAO 34,0 X 50,0 X 2 X 0,20 35W, B-CUFF 47MM</t>
  </si>
  <si>
    <t>B15</t>
  </si>
  <si>
    <t>R15P</t>
  </si>
  <si>
    <t>BAO 42,0 X 60,0 X 2 X 0,20 4W, B-CUFF 50.5MM</t>
  </si>
  <si>
    <t>BAO 42,0 X 60,0 X 2 X 0,20 8W, B-CUFF 50.5MM</t>
  </si>
  <si>
    <t>BAO 42.0 X 60.0 X 2 X 0.25 16W, B-CUFF 50.5MM</t>
  </si>
  <si>
    <t>BAO 42,0 X 60,0 X 2 X 0,20 26W, B-CUFF 50.5MM</t>
  </si>
  <si>
    <t>B20</t>
  </si>
  <si>
    <t>R20P</t>
  </si>
  <si>
    <t>BAO 56,1 X 77,0 X 2 X 0,25 4W, B-CUFF 68MM</t>
  </si>
  <si>
    <t>BAO 56,1 X 77,0 X 2 X 0,25 8W, B-CUFF 68MM</t>
  </si>
  <si>
    <t>BAO 56,1 X 77,0 X 2 X 0,25 16W, B-CUFF 68MM</t>
  </si>
  <si>
    <t>BAO 56,1 X 77,0 X 2 X 0,25 27W, B-CUFF 68MM</t>
  </si>
  <si>
    <t>B25</t>
  </si>
  <si>
    <t>R25P</t>
  </si>
  <si>
    <t>BAO 65,4 X 90,0 X 3 X 0,30 16W, B-CUFF 82MM</t>
  </si>
  <si>
    <t>BAO 65,4 X 90,0 X 3 X 0,30 27W, B-CUFF 82MM</t>
  </si>
  <si>
    <t>B30</t>
  </si>
  <si>
    <t>R30P</t>
  </si>
  <si>
    <t>BAO 85,0 X 106,0 X 2 X 0,30 4W, B-CUFF 101MM</t>
  </si>
  <si>
    <t>BAO 85,0 X 106,0 X 2 X 0,30 8W, B-CUFF 101MM</t>
  </si>
  <si>
    <t>BAO 85,0 X 106,0 X 2 X 0,30 16W, B-CUFF 101MM</t>
  </si>
  <si>
    <t>BAO 85,0 X 106,0 X 2 X 0,30 27W, B-CUFF 101MM</t>
  </si>
  <si>
    <t>B40</t>
  </si>
  <si>
    <t>R40P</t>
  </si>
  <si>
    <t>BAO 96.0 X 122.0 X 3 X 0.3 4W, B-CUFF 113MM</t>
  </si>
  <si>
    <t>BAO 96.0 X 122.0 X 3 X 0.3 10W, B-CUFF 113MM</t>
  </si>
  <si>
    <t>BAO 96.0 X 122.0 X 3 X 0.3 16W, B-CUFF 113MM</t>
  </si>
  <si>
    <t>Load Cycles</t>
  </si>
  <si>
    <r>
      <t>Correction Factor K</t>
    </r>
    <r>
      <rPr>
        <b/>
        <vertAlign val="subscript"/>
        <sz val="11"/>
        <color theme="1"/>
        <rFont val="Aptos Narrow"/>
        <family val="2"/>
      </rPr>
      <t>∆N</t>
    </r>
  </si>
  <si>
    <r>
      <t xml:space="preserve">Maximum Deflection Allowed per Corrugation (10000 Load Cycles EJMA, </t>
    </r>
    <r>
      <rPr>
        <b/>
        <sz val="11"/>
        <color rgb="FFFF0000"/>
        <rFont val="Aptos Narrow"/>
        <family val="2"/>
        <scheme val="minor"/>
      </rPr>
      <t>Axial</t>
    </r>
    <r>
      <rPr>
        <b/>
        <sz val="11"/>
        <color theme="1"/>
        <rFont val="Aptos Narrow"/>
        <family val="2"/>
        <scheme val="minor"/>
      </rPr>
      <t>) (mm)</t>
    </r>
  </si>
  <si>
    <t xml:space="preserve">Total Deflection 10000 Load Cycles, EJMA (mm) </t>
  </si>
  <si>
    <t xml:space="preserve">Total Deflection 4000 Load Cycles, EJMA (mm) </t>
  </si>
  <si>
    <t xml:space="preserve">Total Deflection 1700 Load Cycles, EJMA (mm) </t>
  </si>
  <si>
    <t xml:space="preserve">Total Deflection 1000 Load Cycles, EJMA (mm) </t>
  </si>
  <si>
    <t>SS304</t>
  </si>
  <si>
    <t>Coeff</t>
  </si>
  <si>
    <t>a</t>
  </si>
  <si>
    <t>b</t>
  </si>
  <si>
    <t>c</t>
  </si>
  <si>
    <t>d</t>
  </si>
  <si>
    <t>e</t>
  </si>
  <si>
    <t>Integrated Linear Thermal Expansion Coefficients for Metals</t>
  </si>
  <si>
    <t>Inputs</t>
  </si>
  <si>
    <t>Initial Length (mm)</t>
  </si>
  <si>
    <t>Final Temperature (K)</t>
  </si>
  <si>
    <t>Initial Temperature (K)</t>
  </si>
  <si>
    <t>Material</t>
  </si>
  <si>
    <t>Results</t>
  </si>
  <si>
    <t>Fractional Change</t>
  </si>
  <si>
    <t>Contraction (mm)</t>
  </si>
  <si>
    <t>Max. Length of Spool able to use Respective Bellow, 10000 Load Cycles EJMA (mm)</t>
  </si>
  <si>
    <t>Max. Length of Spool able to use Respective Bellow, 4000 Load Cycles EJMA (mm)</t>
  </si>
  <si>
    <t>Max. Length of Spool able to use Respective Bellow, 1700 Load Cycles EJMA (mm)</t>
  </si>
  <si>
    <t>Final Temp (K)</t>
  </si>
  <si>
    <t>y3</t>
  </si>
  <si>
    <t>x3</t>
  </si>
  <si>
    <t>Contraction (mm) (Absolute Value)</t>
  </si>
  <si>
    <t>Max. Length of Spool able to use Respective Bellow, 1000 Load Cycles EJMA (mm)</t>
  </si>
  <si>
    <t>BAO 27,0 X 41,0 X 2 X 0,15 10W, B-CUFF 37.5MM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</si>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</sst>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E+00"/>
    <numFmt numFmtId="165" formatCode="0.000"/>
    <numFmt numFmtId="166" formatCode="0.00000"/>
  </numFmts>
  <fonts count="1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rgb="FF000000"/>
      <name val="Source Sans Pro"/>
      <family val="2"/>
    </font>
    <font>
      <b/>
      <sz val="13.5"/>
      <color rgb="FF112E51"/>
      <name val="Source Sans Pro"/>
      <family val="2"/>
    </font>
    <font>
      <b/>
      <sz val="13"/>
      <color rgb="FF000000"/>
      <name val="Source Sans Pro"/>
      <family val="2"/>
    </font>
    <font>
      <sz val="13"/>
      <color rgb="FF000000"/>
      <name val="Source Sans Pro"/>
      <family val="2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Calibri"/>
      <family val="2"/>
    </font>
    <font>
      <b/>
      <vertAlign val="subscript"/>
      <sz val="11"/>
      <color theme="1"/>
      <name val="Aptos Narrow"/>
      <family val="2"/>
    </font>
    <font>
      <b/>
      <sz val="11"/>
      <color rgb="FFFF0000"/>
      <name val="Aptos Narrow"/>
      <family val="2"/>
      <scheme val="minor"/>
    </font>
    <font>
      <sz val="11"/>
      <color theme="1"/>
      <name val="Consolas"/>
      <family val="3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19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BED7F0"/>
        <bgColor indexed="64"/>
      </patternFill>
    </fill>
    <fill>
      <patternFill patternType="solid">
        <fgColor rgb="FF97C0E9"/>
        <bgColor indexed="64"/>
      </patternFill>
    </fill>
  </fills>
  <borders count="3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52">
    <xf numFmtId="0" fontId="0" fillId="0" borderId="0" xfId="0"/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right" vertical="center" wrapText="1"/>
    </xf>
    <xf numFmtId="0" fontId="0" fillId="0" borderId="0" xfId="0" applyAlignment="1">
      <alignment horizontal="center"/>
    </xf>
    <xf numFmtId="0" fontId="5" fillId="2" borderId="1" xfId="0" applyFont="1" applyFill="1" applyBorder="1" applyAlignment="1">
      <alignment horizontal="center" vertical="center" wrapText="1"/>
    </xf>
    <xf numFmtId="11" fontId="5" fillId="2" borderId="1" xfId="0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0" fillId="5" borderId="0" xfId="0" applyFill="1"/>
    <xf numFmtId="0" fontId="5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right" vertical="center" wrapText="1"/>
    </xf>
    <xf numFmtId="0" fontId="5" fillId="4" borderId="1" xfId="0" applyFont="1" applyFill="1" applyBorder="1" applyAlignment="1">
      <alignment horizontal="right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left" vertical="center"/>
    </xf>
    <xf numFmtId="0" fontId="7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7" fillId="0" borderId="10" xfId="0" applyFont="1" applyBorder="1" applyAlignment="1">
      <alignment horizontal="left" vertical="center"/>
    </xf>
    <xf numFmtId="0" fontId="7" fillId="0" borderId="10" xfId="0" applyFont="1" applyBorder="1" applyAlignment="1">
      <alignment horizontal="center" vertical="center"/>
    </xf>
    <xf numFmtId="0" fontId="7" fillId="0" borderId="6" xfId="0" applyFont="1" applyBorder="1"/>
    <xf numFmtId="0" fontId="7" fillId="0" borderId="8" xfId="0" applyFont="1" applyBorder="1"/>
    <xf numFmtId="0" fontId="6" fillId="0" borderId="11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2" xfId="0" applyFont="1" applyBorder="1"/>
    <xf numFmtId="0" fontId="6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14" xfId="0" applyFont="1" applyBorder="1"/>
    <xf numFmtId="0" fontId="7" fillId="0" borderId="10" xfId="0" applyFont="1" applyBorder="1"/>
    <xf numFmtId="0" fontId="1" fillId="0" borderId="21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0" fillId="0" borderId="22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7" xfId="0" applyBorder="1" applyAlignment="1">
      <alignment horizontal="center"/>
    </xf>
    <xf numFmtId="0" fontId="7" fillId="4" borderId="12" xfId="0" applyFont="1" applyFill="1" applyBorder="1"/>
    <xf numFmtId="0" fontId="7" fillId="4" borderId="8" xfId="0" applyFont="1" applyFill="1" applyBorder="1"/>
    <xf numFmtId="0" fontId="7" fillId="4" borderId="14" xfId="0" applyFont="1" applyFill="1" applyBorder="1"/>
    <xf numFmtId="2" fontId="7" fillId="8" borderId="6" xfId="0" applyNumberFormat="1" applyFont="1" applyFill="1" applyBorder="1" applyAlignment="1">
      <alignment horizontal="center" vertical="center"/>
    </xf>
    <xf numFmtId="2" fontId="7" fillId="9" borderId="6" xfId="0" applyNumberFormat="1" applyFont="1" applyFill="1" applyBorder="1" applyAlignment="1">
      <alignment horizontal="center" vertical="center"/>
    </xf>
    <xf numFmtId="2" fontId="7" fillId="7" borderId="8" xfId="0" applyNumberFormat="1" applyFont="1" applyFill="1" applyBorder="1" applyAlignment="1">
      <alignment horizontal="center" vertical="center"/>
    </xf>
    <xf numFmtId="2" fontId="7" fillId="8" borderId="8" xfId="0" applyNumberFormat="1" applyFont="1" applyFill="1" applyBorder="1" applyAlignment="1">
      <alignment horizontal="center" vertical="center"/>
    </xf>
    <xf numFmtId="2" fontId="7" fillId="9" borderId="8" xfId="0" applyNumberFormat="1" applyFont="1" applyFill="1" applyBorder="1" applyAlignment="1">
      <alignment horizontal="center" vertical="center"/>
    </xf>
    <xf numFmtId="2" fontId="7" fillId="7" borderId="6" xfId="0" applyNumberFormat="1" applyFont="1" applyFill="1" applyBorder="1" applyAlignment="1">
      <alignment horizontal="center"/>
    </xf>
    <xf numFmtId="2" fontId="7" fillId="7" borderId="8" xfId="0" applyNumberFormat="1" applyFont="1" applyFill="1" applyBorder="1" applyAlignment="1">
      <alignment horizontal="center"/>
    </xf>
    <xf numFmtId="2" fontId="7" fillId="7" borderId="12" xfId="0" applyNumberFormat="1" applyFont="1" applyFill="1" applyBorder="1" applyAlignment="1">
      <alignment horizontal="center"/>
    </xf>
    <xf numFmtId="2" fontId="7" fillId="9" borderId="12" xfId="0" applyNumberFormat="1" applyFont="1" applyFill="1" applyBorder="1" applyAlignment="1">
      <alignment horizontal="center" vertical="center"/>
    </xf>
    <xf numFmtId="2" fontId="7" fillId="9" borderId="14" xfId="0" applyNumberFormat="1" applyFont="1" applyFill="1" applyBorder="1" applyAlignment="1">
      <alignment horizontal="center" vertical="center"/>
    </xf>
    <xf numFmtId="2" fontId="7" fillId="7" borderId="12" xfId="0" applyNumberFormat="1" applyFont="1" applyFill="1" applyBorder="1" applyAlignment="1">
      <alignment horizontal="center" vertical="center"/>
    </xf>
    <xf numFmtId="2" fontId="7" fillId="10" borderId="6" xfId="0" applyNumberFormat="1" applyFont="1" applyFill="1" applyBorder="1" applyAlignment="1">
      <alignment horizontal="center" vertical="center"/>
    </xf>
    <xf numFmtId="2" fontId="7" fillId="10" borderId="8" xfId="0" applyNumberFormat="1" applyFont="1" applyFill="1" applyBorder="1" applyAlignment="1">
      <alignment horizontal="center" vertical="center"/>
    </xf>
    <xf numFmtId="2" fontId="7" fillId="10" borderId="12" xfId="0" applyNumberFormat="1" applyFont="1" applyFill="1" applyBorder="1" applyAlignment="1">
      <alignment horizontal="center" vertical="center"/>
    </xf>
    <xf numFmtId="2" fontId="7" fillId="10" borderId="14" xfId="0" applyNumberFormat="1" applyFont="1" applyFill="1" applyBorder="1" applyAlignment="1">
      <alignment horizontal="center" vertical="center"/>
    </xf>
    <xf numFmtId="2" fontId="7" fillId="7" borderId="14" xfId="0" applyNumberFormat="1" applyFont="1" applyFill="1" applyBorder="1" applyAlignment="1">
      <alignment horizontal="center"/>
    </xf>
    <xf numFmtId="2" fontId="7" fillId="8" borderId="12" xfId="0" applyNumberFormat="1" applyFont="1" applyFill="1" applyBorder="1" applyAlignment="1">
      <alignment horizontal="center" vertical="center"/>
    </xf>
    <xf numFmtId="2" fontId="7" fillId="7" borderId="14" xfId="0" applyNumberFormat="1" applyFont="1" applyFill="1" applyBorder="1" applyAlignment="1">
      <alignment horizontal="center" vertical="center"/>
    </xf>
    <xf numFmtId="2" fontId="7" fillId="8" borderId="14" xfId="0" applyNumberFormat="1" applyFont="1" applyFill="1" applyBorder="1" applyAlignment="1">
      <alignment horizontal="center" vertical="center"/>
    </xf>
    <xf numFmtId="0" fontId="1" fillId="0" borderId="28" xfId="0" applyFont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0" fillId="16" borderId="8" xfId="0" applyFill="1" applyBorder="1" applyAlignment="1">
      <alignment horizontal="center"/>
    </xf>
    <xf numFmtId="11" fontId="0" fillId="12" borderId="8" xfId="0" applyNumberFormat="1" applyFill="1" applyBorder="1"/>
    <xf numFmtId="0" fontId="11" fillId="0" borderId="0" xfId="0" applyFont="1"/>
    <xf numFmtId="164" fontId="0" fillId="12" borderId="8" xfId="0" applyNumberFormat="1" applyFill="1" applyBorder="1"/>
    <xf numFmtId="0" fontId="1" fillId="15" borderId="28" xfId="0" applyFont="1" applyFill="1" applyBorder="1" applyAlignment="1">
      <alignment horizontal="center" vertical="center" wrapText="1"/>
    </xf>
    <xf numFmtId="0" fontId="0" fillId="16" borderId="10" xfId="0" applyFill="1" applyBorder="1" applyAlignment="1">
      <alignment horizontal="center"/>
    </xf>
    <xf numFmtId="0" fontId="0" fillId="16" borderId="14" xfId="0" applyFill="1" applyBorder="1" applyAlignment="1">
      <alignment horizontal="center"/>
    </xf>
    <xf numFmtId="0" fontId="0" fillId="6" borderId="15" xfId="0" applyFill="1" applyBorder="1" applyAlignment="1">
      <alignment horizontal="center"/>
    </xf>
    <xf numFmtId="165" fontId="7" fillId="7" borderId="6" xfId="0" applyNumberFormat="1" applyFont="1" applyFill="1" applyBorder="1" applyAlignment="1">
      <alignment horizontal="center" vertical="center"/>
    </xf>
    <xf numFmtId="165" fontId="7" fillId="8" borderId="6" xfId="0" applyNumberFormat="1" applyFont="1" applyFill="1" applyBorder="1" applyAlignment="1">
      <alignment horizontal="center" vertical="center"/>
    </xf>
    <xf numFmtId="165" fontId="7" fillId="9" borderId="6" xfId="0" applyNumberFormat="1" applyFont="1" applyFill="1" applyBorder="1" applyAlignment="1">
      <alignment horizontal="center" vertical="center"/>
    </xf>
    <xf numFmtId="165" fontId="7" fillId="10" borderId="6" xfId="0" applyNumberFormat="1" applyFont="1" applyFill="1" applyBorder="1" applyAlignment="1">
      <alignment horizontal="center" vertical="center"/>
    </xf>
    <xf numFmtId="165" fontId="7" fillId="7" borderId="8" xfId="0" applyNumberFormat="1" applyFont="1" applyFill="1" applyBorder="1" applyAlignment="1">
      <alignment horizontal="center" vertical="center"/>
    </xf>
    <xf numFmtId="165" fontId="7" fillId="8" borderId="8" xfId="0" applyNumberFormat="1" applyFont="1" applyFill="1" applyBorder="1" applyAlignment="1">
      <alignment horizontal="center" vertical="center"/>
    </xf>
    <xf numFmtId="165" fontId="7" fillId="9" borderId="8" xfId="0" applyNumberFormat="1" applyFont="1" applyFill="1" applyBorder="1" applyAlignment="1">
      <alignment horizontal="center" vertical="center"/>
    </xf>
    <xf numFmtId="165" fontId="7" fillId="10" borderId="8" xfId="0" applyNumberFormat="1" applyFont="1" applyFill="1" applyBorder="1" applyAlignment="1">
      <alignment horizontal="center" vertical="center"/>
    </xf>
    <xf numFmtId="165" fontId="7" fillId="7" borderId="12" xfId="0" applyNumberFormat="1" applyFont="1" applyFill="1" applyBorder="1" applyAlignment="1">
      <alignment horizontal="center" vertical="center"/>
    </xf>
    <xf numFmtId="165" fontId="7" fillId="8" borderId="12" xfId="0" applyNumberFormat="1" applyFont="1" applyFill="1" applyBorder="1" applyAlignment="1">
      <alignment horizontal="center" vertical="center"/>
    </xf>
    <xf numFmtId="165" fontId="7" fillId="9" borderId="12" xfId="0" applyNumberFormat="1" applyFont="1" applyFill="1" applyBorder="1" applyAlignment="1">
      <alignment horizontal="center" vertical="center"/>
    </xf>
    <xf numFmtId="165" fontId="7" fillId="10" borderId="12" xfId="0" applyNumberFormat="1" applyFont="1" applyFill="1" applyBorder="1" applyAlignment="1">
      <alignment horizontal="center" vertical="center"/>
    </xf>
    <xf numFmtId="165" fontId="7" fillId="7" borderId="14" xfId="0" applyNumberFormat="1" applyFont="1" applyFill="1" applyBorder="1" applyAlignment="1">
      <alignment horizontal="center" vertical="center"/>
    </xf>
    <xf numFmtId="165" fontId="7" fillId="8" borderId="14" xfId="0" applyNumberFormat="1" applyFont="1" applyFill="1" applyBorder="1" applyAlignment="1">
      <alignment horizontal="center" vertical="center"/>
    </xf>
    <xf numFmtId="165" fontId="7" fillId="9" borderId="14" xfId="0" applyNumberFormat="1" applyFont="1" applyFill="1" applyBorder="1" applyAlignment="1">
      <alignment horizontal="center" vertical="center"/>
    </xf>
    <xf numFmtId="165" fontId="7" fillId="10" borderId="14" xfId="0" applyNumberFormat="1" applyFont="1" applyFill="1" applyBorder="1" applyAlignment="1">
      <alignment horizontal="center" vertical="center"/>
    </xf>
    <xf numFmtId="166" fontId="0" fillId="12" borderId="8" xfId="0" applyNumberFormat="1" applyFill="1" applyBorder="1"/>
    <xf numFmtId="0" fontId="6" fillId="0" borderId="6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7" borderId="6" xfId="0" applyFont="1" applyFill="1" applyBorder="1" applyAlignment="1">
      <alignment horizontal="center" vertical="center"/>
    </xf>
    <xf numFmtId="0" fontId="7" fillId="7" borderId="12" xfId="0" applyFont="1" applyFill="1" applyBorder="1" applyAlignment="1">
      <alignment horizontal="center" vertical="center"/>
    </xf>
    <xf numFmtId="0" fontId="7" fillId="7" borderId="8" xfId="0" applyFont="1" applyFill="1" applyBorder="1" applyAlignment="1">
      <alignment horizontal="center" vertical="center"/>
    </xf>
    <xf numFmtId="0" fontId="7" fillId="7" borderId="4" xfId="0" applyFont="1" applyFill="1" applyBorder="1" applyAlignment="1">
      <alignment horizontal="center" vertical="center"/>
    </xf>
    <xf numFmtId="0" fontId="7" fillId="7" borderId="33" xfId="0" applyFont="1" applyFill="1" applyBorder="1" applyAlignment="1">
      <alignment horizontal="center" vertical="center"/>
    </xf>
    <xf numFmtId="0" fontId="7" fillId="7" borderId="34" xfId="0" applyFont="1" applyFill="1" applyBorder="1" applyAlignment="1">
      <alignment horizontal="center" vertical="center"/>
    </xf>
    <xf numFmtId="0" fontId="7" fillId="7" borderId="10" xfId="0" applyFont="1" applyFill="1" applyBorder="1" applyAlignment="1">
      <alignment horizontal="center" vertical="center"/>
    </xf>
    <xf numFmtId="0" fontId="8" fillId="7" borderId="6" xfId="0" applyFont="1" applyFill="1" applyBorder="1" applyAlignment="1">
      <alignment horizontal="center" vertical="center"/>
    </xf>
    <xf numFmtId="0" fontId="8" fillId="7" borderId="8" xfId="0" applyFont="1" applyFill="1" applyBorder="1" applyAlignment="1">
      <alignment horizontal="center" vertical="center"/>
    </xf>
    <xf numFmtId="0" fontId="8" fillId="7" borderId="12" xfId="0" applyFont="1" applyFill="1" applyBorder="1" applyAlignment="1">
      <alignment horizontal="center" vertical="center"/>
    </xf>
    <xf numFmtId="0" fontId="7" fillId="7" borderId="14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18" borderId="3" xfId="0" applyFont="1" applyFill="1" applyBorder="1" applyAlignment="1">
      <alignment horizontal="center" vertical="center" wrapText="1"/>
    </xf>
    <xf numFmtId="0" fontId="1" fillId="18" borderId="4" xfId="0" applyFont="1" applyFill="1" applyBorder="1" applyAlignment="1">
      <alignment horizontal="center" vertical="center" wrapText="1"/>
    </xf>
    <xf numFmtId="0" fontId="1" fillId="18" borderId="32" xfId="0" applyFont="1" applyFill="1" applyBorder="1" applyAlignment="1">
      <alignment horizontal="center" vertical="center" wrapText="1"/>
    </xf>
    <xf numFmtId="0" fontId="1" fillId="14" borderId="8" xfId="0" applyFont="1" applyFill="1" applyBorder="1" applyAlignment="1">
      <alignment horizontal="center" vertical="center"/>
    </xf>
    <xf numFmtId="0" fontId="0" fillId="15" borderId="29" xfId="0" applyFill="1" applyBorder="1" applyAlignment="1">
      <alignment horizontal="center"/>
    </xf>
    <xf numFmtId="0" fontId="0" fillId="15" borderId="30" xfId="0" applyFill="1" applyBorder="1" applyAlignment="1">
      <alignment horizontal="center"/>
    </xf>
    <xf numFmtId="0" fontId="0" fillId="15" borderId="31" xfId="0" applyFill="1" applyBorder="1" applyAlignment="1">
      <alignment horizontal="center"/>
    </xf>
    <xf numFmtId="0" fontId="1" fillId="13" borderId="19" xfId="0" applyFont="1" applyFill="1" applyBorder="1" applyAlignment="1">
      <alignment horizontal="center"/>
    </xf>
    <xf numFmtId="0" fontId="1" fillId="13" borderId="28" xfId="0" applyFont="1" applyFill="1" applyBorder="1" applyAlignment="1">
      <alignment horizontal="center"/>
    </xf>
    <xf numFmtId="0" fontId="1" fillId="13" borderId="20" xfId="0" applyFont="1" applyFill="1" applyBorder="1" applyAlignment="1">
      <alignment horizontal="center"/>
    </xf>
    <xf numFmtId="11" fontId="0" fillId="5" borderId="14" xfId="0" applyNumberFormat="1" applyFill="1" applyBorder="1" applyAlignment="1">
      <alignment horizontal="center"/>
    </xf>
    <xf numFmtId="11" fontId="0" fillId="5" borderId="18" xfId="0" applyNumberFormat="1" applyFill="1" applyBorder="1" applyAlignment="1">
      <alignment horizontal="center"/>
    </xf>
    <xf numFmtId="11" fontId="0" fillId="17" borderId="8" xfId="0" applyNumberFormat="1" applyFill="1" applyBorder="1" applyAlignment="1">
      <alignment horizontal="center"/>
    </xf>
    <xf numFmtId="11" fontId="0" fillId="17" borderId="16" xfId="0" applyNumberFormat="1" applyFill="1" applyBorder="1" applyAlignment="1">
      <alignment horizontal="center"/>
    </xf>
    <xf numFmtId="11" fontId="0" fillId="5" borderId="8" xfId="0" applyNumberFormat="1" applyFill="1" applyBorder="1" applyAlignment="1">
      <alignment horizontal="center"/>
    </xf>
    <xf numFmtId="11" fontId="0" fillId="5" borderId="16" xfId="0" applyNumberFormat="1" applyFill="1" applyBorder="1" applyAlignment="1">
      <alignment horizontal="center"/>
    </xf>
    <xf numFmtId="0" fontId="1" fillId="11" borderId="8" xfId="0" applyFont="1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11" fontId="0" fillId="5" borderId="12" xfId="0" applyNumberFormat="1" applyFill="1" applyBorder="1" applyAlignment="1">
      <alignment horizontal="center"/>
    </xf>
    <xf numFmtId="11" fontId="0" fillId="5" borderId="17" xfId="0" applyNumberFormat="1" applyFill="1" applyBorder="1" applyAlignment="1">
      <alignment horizontal="center"/>
    </xf>
    <xf numFmtId="0" fontId="0" fillId="5" borderId="13" xfId="0" applyFill="1" applyBorder="1" applyAlignment="1">
      <alignment horizontal="center"/>
    </xf>
    <xf numFmtId="0" fontId="0" fillId="5" borderId="14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8" xfId="0" applyFill="1" applyBorder="1" applyAlignment="1">
      <alignment horizontal="center"/>
    </xf>
    <xf numFmtId="0" fontId="0" fillId="5" borderId="11" xfId="0" applyFill="1" applyBorder="1" applyAlignment="1">
      <alignment horizontal="center"/>
    </xf>
    <xf numFmtId="0" fontId="0" fillId="5" borderId="12" xfId="0" applyFill="1" applyBorder="1" applyAlignment="1">
      <alignment horizontal="center"/>
    </xf>
    <xf numFmtId="0" fontId="0" fillId="17" borderId="7" xfId="0" applyFill="1" applyBorder="1" applyAlignment="1">
      <alignment horizontal="center"/>
    </xf>
    <xf numFmtId="0" fontId="0" fillId="17" borderId="8" xfId="0" applyFill="1" applyBorder="1" applyAlignment="1">
      <alignment horizontal="center"/>
    </xf>
    <xf numFmtId="0" fontId="6" fillId="0" borderId="14" xfId="0" applyFont="1" applyBorder="1" applyAlignment="1">
      <alignment horizontal="center" vertical="center"/>
    </xf>
    <xf numFmtId="0" fontId="7" fillId="0" borderId="14" xfId="0" applyFont="1" applyBorder="1" applyAlignment="1">
      <alignment horizontal="left" vertical="center"/>
    </xf>
    <xf numFmtId="0" fontId="1" fillId="6" borderId="28" xfId="0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/>
    </xf>
    <xf numFmtId="0" fontId="0" fillId="4" borderId="8" xfId="0" applyFill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4" borderId="12" xfId="0" applyFill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4" borderId="14" xfId="0" applyFill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7C0E9"/>
      <color rgb="FFBED7F0"/>
      <color rgb="FFC9DEF3"/>
      <color rgb="FFFFE5FF"/>
      <color rgb="FFF6DEF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104775</xdr:colOff>
      <xdr:row>17</xdr:row>
      <xdr:rowOff>161925</xdr:rowOff>
    </xdr:from>
    <xdr:to>
      <xdr:col>7</xdr:col>
      <xdr:colOff>686284</xdr:colOff>
      <xdr:row>21</xdr:row>
      <xdr:rowOff>19136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E8F88E8-6E73-4C0D-BC6C-B55E16885D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00400" y="3714750"/>
          <a:ext cx="3467584" cy="619211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8E74E-5388-4CCF-A4F6-C2F3DB5C6C41}">
  <dimension ref="A1:P33"/>
  <sheetViews>
    <sheetView tabSelected="1" topLeftCell="D1" zoomScaleNormal="100" workbookViewId="0">
      <selection activeCell="G14" sqref="G14"/>
    </sheetView>
  </sheetViews>
  <sheetFormatPr defaultRowHeight="14.5" x14ac:dyDescent="0.35"/>
  <cols>
    <col min="2" max="2" width="15.1796875" customWidth="1"/>
    <col min="3" max="3" width="13.81640625" customWidth="1"/>
    <col min="4" max="4" width="43" bestFit="1" customWidth="1"/>
    <col min="5" max="5" width="15.81640625" customWidth="1"/>
    <col min="6" max="6" width="28.26953125" hidden="1" customWidth="1"/>
    <col min="7" max="7" width="14" style="5" customWidth="1"/>
    <col min="8" max="8" width="19.7265625" customWidth="1"/>
    <col min="9" max="9" width="18.1796875" customWidth="1"/>
    <col min="10" max="10" width="16.81640625" customWidth="1"/>
    <col min="11" max="11" width="18.81640625" customWidth="1"/>
    <col min="13" max="14" width="28.1796875" bestFit="1" customWidth="1"/>
    <col min="15" max="15" width="27.26953125" customWidth="1"/>
    <col min="16" max="16" width="27.54296875" customWidth="1"/>
  </cols>
  <sheetData>
    <row r="1" spans="1:16" ht="44" thickBot="1" x14ac:dyDescent="0.4">
      <c r="A1" s="17" t="s">
        <v>22</v>
      </c>
      <c r="B1" s="18" t="s">
        <v>23</v>
      </c>
      <c r="C1" s="66" t="s">
        <v>24</v>
      </c>
      <c r="D1" s="66" t="s">
        <v>25</v>
      </c>
      <c r="E1" s="66" t="s">
        <v>26</v>
      </c>
      <c r="F1" s="144" t="s">
        <v>77</v>
      </c>
      <c r="G1" s="151" t="s">
        <v>107</v>
      </c>
      <c r="H1" s="66" t="s">
        <v>78</v>
      </c>
      <c r="I1" s="66" t="s">
        <v>79</v>
      </c>
      <c r="J1" s="66" t="s">
        <v>80</v>
      </c>
      <c r="K1" s="66" t="s">
        <v>81</v>
      </c>
      <c r="M1" s="72" t="s">
        <v>98</v>
      </c>
      <c r="N1" s="72" t="s">
        <v>99</v>
      </c>
      <c r="O1" s="72" t="s">
        <v>100</v>
      </c>
      <c r="P1" s="72" t="s">
        <v>105</v>
      </c>
    </row>
    <row r="2" spans="1:16" x14ac:dyDescent="0.35">
      <c r="A2" s="19">
        <v>1</v>
      </c>
      <c r="B2" s="93" t="s">
        <v>27</v>
      </c>
      <c r="C2" s="142" t="s">
        <v>27</v>
      </c>
      <c r="D2" s="143" t="s">
        <v>28</v>
      </c>
      <c r="E2" s="33">
        <v>10</v>
      </c>
      <c r="F2" s="111">
        <v>0.3</v>
      </c>
      <c r="G2" s="147"/>
      <c r="H2" s="64">
        <f>E2*$F$2</f>
        <v>3</v>
      </c>
      <c r="I2" s="65">
        <f>H2*Constants!$C$4</f>
        <v>3.5999999999999996</v>
      </c>
      <c r="J2" s="56">
        <f>H2*Constants!$C$3</f>
        <v>4.1999999999999993</v>
      </c>
      <c r="K2" s="61">
        <f>H2*Constants!$C$2</f>
        <v>4.8000000000000007</v>
      </c>
      <c r="M2" s="76">
        <f>H2/Constants!$H$17*1000</f>
        <v>1142.6121305699978</v>
      </c>
      <c r="N2" s="77">
        <f>I2/Constants!$H$17*1000</f>
        <v>1371.1345566839975</v>
      </c>
      <c r="O2" s="78">
        <f>J2/Constants!$H$17*1000</f>
        <v>1599.6569827979968</v>
      </c>
      <c r="P2" s="79">
        <f>K2/Constants!$H$17*1000</f>
        <v>1828.1794089119969</v>
      </c>
    </row>
    <row r="3" spans="1:16" x14ac:dyDescent="0.35">
      <c r="A3" s="21">
        <v>2</v>
      </c>
      <c r="B3" s="94"/>
      <c r="C3" s="94"/>
      <c r="D3" s="22" t="s">
        <v>29</v>
      </c>
      <c r="E3" s="23">
        <v>20</v>
      </c>
      <c r="F3" s="103"/>
      <c r="G3" s="145"/>
      <c r="H3" s="49">
        <f t="shared" ref="H3:H4" si="0">E3*$F$2</f>
        <v>6</v>
      </c>
      <c r="I3" s="50">
        <f>H3*Constants!$C$4</f>
        <v>7.1999999999999993</v>
      </c>
      <c r="J3" s="51">
        <f>H3*Constants!$C$3</f>
        <v>8.3999999999999986</v>
      </c>
      <c r="K3" s="59">
        <f>H3*Constants!$C$2</f>
        <v>9.6000000000000014</v>
      </c>
      <c r="M3" s="80">
        <f>H3/Constants!$H$17*1000</f>
        <v>2285.2242611399956</v>
      </c>
      <c r="N3" s="81">
        <f>I3/Constants!$H$17*1000</f>
        <v>2742.269113367995</v>
      </c>
      <c r="O3" s="82">
        <f>J3/Constants!$H$17*1000</f>
        <v>3199.3139655959935</v>
      </c>
      <c r="P3" s="83">
        <f>K3/Constants!$H$17*1000</f>
        <v>3656.3588178239938</v>
      </c>
    </row>
    <row r="4" spans="1:16" ht="15" thickBot="1" x14ac:dyDescent="0.4">
      <c r="A4" s="24">
        <v>3</v>
      </c>
      <c r="B4" s="95"/>
      <c r="C4" s="95"/>
      <c r="D4" s="25" t="s">
        <v>30</v>
      </c>
      <c r="E4" s="26">
        <v>50</v>
      </c>
      <c r="F4" s="107"/>
      <c r="G4" s="149"/>
      <c r="H4" s="57">
        <f t="shared" si="0"/>
        <v>15</v>
      </c>
      <c r="I4" s="63">
        <f>H4*Constants!$C$4</f>
        <v>18</v>
      </c>
      <c r="J4" s="55">
        <f>H4*Constants!$C$3</f>
        <v>21</v>
      </c>
      <c r="K4" s="60">
        <f>H4*Constants!$C$2</f>
        <v>24</v>
      </c>
      <c r="M4" s="84">
        <f>H4/Constants!$H$17*1000</f>
        <v>5713.0606528499893</v>
      </c>
      <c r="N4" s="85">
        <f>I4/Constants!$H$17*1000</f>
        <v>6855.6727834199874</v>
      </c>
      <c r="O4" s="86">
        <f>J4/Constants!$H$17*1000</f>
        <v>7998.2849139899854</v>
      </c>
      <c r="P4" s="87">
        <f>K4/Constants!$H$17*1000</f>
        <v>9140.8970445599825</v>
      </c>
    </row>
    <row r="5" spans="1:16" x14ac:dyDescent="0.35">
      <c r="A5" s="19">
        <v>4</v>
      </c>
      <c r="B5" s="96" t="s">
        <v>31</v>
      </c>
      <c r="C5" s="96" t="s">
        <v>32</v>
      </c>
      <c r="D5" s="27" t="s">
        <v>33</v>
      </c>
      <c r="E5" s="20">
        <v>4</v>
      </c>
      <c r="F5" s="108">
        <v>0.34</v>
      </c>
      <c r="G5" s="147">
        <v>45.58</v>
      </c>
      <c r="H5" s="62">
        <f>E5*$F$5</f>
        <v>1.36</v>
      </c>
      <c r="I5" s="47">
        <f>H5*Constants!$C$4</f>
        <v>1.6320000000000001</v>
      </c>
      <c r="J5" s="48">
        <f>H5*Constants!$C$3</f>
        <v>1.9039999999999999</v>
      </c>
      <c r="K5" s="58">
        <f>H5*Constants!$C$2</f>
        <v>2.1760000000000002</v>
      </c>
      <c r="M5" s="76">
        <f>H5/Constants!$H$17*1000</f>
        <v>517.98416585839914</v>
      </c>
      <c r="N5" s="77">
        <f>I5/Constants!$H$17*1000</f>
        <v>621.58099903007894</v>
      </c>
      <c r="O5" s="78">
        <f>J5/Constants!$H$17*1000</f>
        <v>725.17783220175863</v>
      </c>
      <c r="P5" s="79">
        <f>K5/Constants!$H$17*1000</f>
        <v>828.77466537343855</v>
      </c>
    </row>
    <row r="6" spans="1:16" x14ac:dyDescent="0.35">
      <c r="A6" s="21">
        <v>5</v>
      </c>
      <c r="B6" s="97"/>
      <c r="C6" s="97"/>
      <c r="D6" s="28" t="s">
        <v>34</v>
      </c>
      <c r="E6" s="23">
        <v>12</v>
      </c>
      <c r="F6" s="109"/>
      <c r="G6" s="145">
        <v>60.9</v>
      </c>
      <c r="H6" s="53">
        <f>E6*$F$5</f>
        <v>4.08</v>
      </c>
      <c r="I6" s="50">
        <f>H6*Constants!$C$4</f>
        <v>4.8959999999999999</v>
      </c>
      <c r="J6" s="51">
        <f>H6*Constants!$C$3</f>
        <v>5.7119999999999997</v>
      </c>
      <c r="K6" s="59">
        <f>H6*Constants!$C$2</f>
        <v>6.5280000000000005</v>
      </c>
      <c r="M6" s="80">
        <f>H6/Constants!$H$17*1000</f>
        <v>1553.9524975751972</v>
      </c>
      <c r="N6" s="81">
        <f>I6/Constants!$H$17*1000</f>
        <v>1864.7429970902365</v>
      </c>
      <c r="O6" s="82">
        <f>J6/Constants!$H$17*1000</f>
        <v>2175.5334966052756</v>
      </c>
      <c r="P6" s="83">
        <f>K6/Constants!$H$17*1000</f>
        <v>2486.3239961203158</v>
      </c>
    </row>
    <row r="7" spans="1:16" x14ac:dyDescent="0.35">
      <c r="A7" s="21">
        <v>6</v>
      </c>
      <c r="B7" s="97"/>
      <c r="C7" s="97"/>
      <c r="D7" s="28" t="s">
        <v>35</v>
      </c>
      <c r="E7" s="23">
        <v>27</v>
      </c>
      <c r="F7" s="109"/>
      <c r="G7" s="145">
        <v>99.62</v>
      </c>
      <c r="H7" s="53">
        <f>E7*$F$5</f>
        <v>9.1800000000000015</v>
      </c>
      <c r="I7" s="50">
        <f>H7*Constants!$C$4</f>
        <v>11.016000000000002</v>
      </c>
      <c r="J7" s="51">
        <f>H7*Constants!$C$3</f>
        <v>12.852000000000002</v>
      </c>
      <c r="K7" s="59">
        <f>H7*Constants!$C$2</f>
        <v>14.688000000000002</v>
      </c>
      <c r="M7" s="80">
        <f>H7/Constants!$H$17*1000</f>
        <v>3496.3931195441942</v>
      </c>
      <c r="N7" s="81">
        <f>I7/Constants!$H$17*1000</f>
        <v>4195.6717434530328</v>
      </c>
      <c r="O7" s="82">
        <f>J7/Constants!$H$17*1000</f>
        <v>4894.9503673618719</v>
      </c>
      <c r="P7" s="83">
        <f>K7/Constants!$H$17*1000</f>
        <v>5594.228991270711</v>
      </c>
    </row>
    <row r="8" spans="1:16" ht="15" thickBot="1" x14ac:dyDescent="0.4">
      <c r="A8" s="29">
        <v>7</v>
      </c>
      <c r="B8" s="98"/>
      <c r="C8" s="98"/>
      <c r="D8" s="31" t="s">
        <v>36</v>
      </c>
      <c r="E8" s="30">
        <v>54</v>
      </c>
      <c r="F8" s="110"/>
      <c r="G8" s="149">
        <v>138.47999999999999</v>
      </c>
      <c r="H8" s="54">
        <f>E8*$F$5</f>
        <v>18.360000000000003</v>
      </c>
      <c r="I8" s="63">
        <f>H8*Constants!$C$4</f>
        <v>22.032000000000004</v>
      </c>
      <c r="J8" s="55">
        <f>H8*Constants!$C$3</f>
        <v>25.704000000000004</v>
      </c>
      <c r="K8" s="60">
        <f>H8*Constants!$C$2</f>
        <v>29.376000000000005</v>
      </c>
      <c r="M8" s="84">
        <f>H8/Constants!$H$17*1000</f>
        <v>6992.7862390883884</v>
      </c>
      <c r="N8" s="85">
        <f>I8/Constants!$H$17*1000</f>
        <v>8391.3434869060657</v>
      </c>
      <c r="O8" s="86">
        <f>J8/Constants!$H$17*1000</f>
        <v>9789.9007347237439</v>
      </c>
      <c r="P8" s="87">
        <f>K8/Constants!$H$17*1000</f>
        <v>11188.457982541422</v>
      </c>
    </row>
    <row r="9" spans="1:16" x14ac:dyDescent="0.35">
      <c r="A9" s="19">
        <v>8</v>
      </c>
      <c r="B9" s="96" t="s">
        <v>37</v>
      </c>
      <c r="C9" s="96" t="s">
        <v>38</v>
      </c>
      <c r="D9" s="27" t="s">
        <v>39</v>
      </c>
      <c r="E9" s="20">
        <v>5</v>
      </c>
      <c r="F9" s="101">
        <v>0.6</v>
      </c>
      <c r="G9" s="147">
        <v>57.36</v>
      </c>
      <c r="H9" s="52">
        <f>E9*$F$9</f>
        <v>3</v>
      </c>
      <c r="I9" s="47">
        <f>H9*Constants!$C$4</f>
        <v>3.5999999999999996</v>
      </c>
      <c r="J9" s="48">
        <f>H9*Constants!$C$3</f>
        <v>4.1999999999999993</v>
      </c>
      <c r="K9" s="58">
        <f>H9*Constants!$C$2</f>
        <v>4.8000000000000007</v>
      </c>
      <c r="M9" s="76">
        <f>H9/Constants!$H$17*1000</f>
        <v>1142.6121305699978</v>
      </c>
      <c r="N9" s="77">
        <f>I9/Constants!$H$17*1000</f>
        <v>1371.1345566839975</v>
      </c>
      <c r="O9" s="78">
        <f>J9/Constants!$H$17*1000</f>
        <v>1599.6569827979968</v>
      </c>
      <c r="P9" s="79">
        <f>K9/Constants!$H$17*1000</f>
        <v>1828.1794089119969</v>
      </c>
    </row>
    <row r="10" spans="1:16" x14ac:dyDescent="0.35">
      <c r="A10" s="21">
        <v>9</v>
      </c>
      <c r="B10" s="97"/>
      <c r="C10" s="97"/>
      <c r="D10" s="28" t="s">
        <v>106</v>
      </c>
      <c r="E10" s="23">
        <v>10</v>
      </c>
      <c r="F10" s="103"/>
      <c r="G10" s="145">
        <v>63.86</v>
      </c>
      <c r="H10" s="53">
        <f>E10*$F$9</f>
        <v>6</v>
      </c>
      <c r="I10" s="50">
        <f>H10*Constants!$C$4</f>
        <v>7.1999999999999993</v>
      </c>
      <c r="J10" s="51">
        <f>H10*Constants!$C$3</f>
        <v>8.3999999999999986</v>
      </c>
      <c r="K10" s="59">
        <f>H10*Constants!$C$2</f>
        <v>9.6000000000000014</v>
      </c>
      <c r="M10" s="80">
        <f>H10/Constants!$H$17*1000</f>
        <v>2285.2242611399956</v>
      </c>
      <c r="N10" s="81">
        <f>I10/Constants!$H$17*1000</f>
        <v>2742.269113367995</v>
      </c>
      <c r="O10" s="82">
        <f>J10/Constants!$H$17*1000</f>
        <v>3199.3139655959935</v>
      </c>
      <c r="P10" s="83">
        <f>K10/Constants!$H$17*1000</f>
        <v>3656.3588178239938</v>
      </c>
    </row>
    <row r="11" spans="1:16" x14ac:dyDescent="0.35">
      <c r="A11" s="21">
        <v>10</v>
      </c>
      <c r="B11" s="97"/>
      <c r="C11" s="97"/>
      <c r="D11" s="28" t="s">
        <v>40</v>
      </c>
      <c r="E11" s="23">
        <v>16</v>
      </c>
      <c r="F11" s="103"/>
      <c r="G11" s="145">
        <v>91.62</v>
      </c>
      <c r="H11" s="53">
        <f>E11*$F$9</f>
        <v>9.6</v>
      </c>
      <c r="I11" s="50">
        <f>H11*Constants!$C$4</f>
        <v>11.52</v>
      </c>
      <c r="J11" s="51">
        <f>H11*Constants!$C$3</f>
        <v>13.44</v>
      </c>
      <c r="K11" s="59">
        <f>H11*Constants!$C$2</f>
        <v>15.36</v>
      </c>
      <c r="M11" s="80">
        <f>H11/Constants!$H$17*1000</f>
        <v>3656.3588178239929</v>
      </c>
      <c r="N11" s="81">
        <f>I11/Constants!$H$17*1000</f>
        <v>4387.6305813887921</v>
      </c>
      <c r="O11" s="82">
        <f>J11/Constants!$H$17*1000</f>
        <v>5118.9023449535907</v>
      </c>
      <c r="P11" s="83">
        <f>K11/Constants!$H$17*1000</f>
        <v>5850.1741085183885</v>
      </c>
    </row>
    <row r="12" spans="1:16" ht="15" thickBot="1" x14ac:dyDescent="0.4">
      <c r="A12" s="29">
        <v>11</v>
      </c>
      <c r="B12" s="98"/>
      <c r="C12" s="98"/>
      <c r="D12" s="31" t="s">
        <v>41</v>
      </c>
      <c r="E12" s="30">
        <v>35</v>
      </c>
      <c r="F12" s="102"/>
      <c r="G12" s="149">
        <v>130.56</v>
      </c>
      <c r="H12" s="53">
        <f t="shared" ref="H12" si="1">E12*$F$9</f>
        <v>21</v>
      </c>
      <c r="I12" s="63">
        <f>H12*Constants!$C$4</f>
        <v>25.2</v>
      </c>
      <c r="J12" s="55">
        <f>H12*Constants!$C$3</f>
        <v>29.4</v>
      </c>
      <c r="K12" s="60">
        <f>H12*Constants!$C$2</f>
        <v>33.6</v>
      </c>
      <c r="M12" s="84">
        <f>H12/Constants!$H$17*1000</f>
        <v>7998.2849139899854</v>
      </c>
      <c r="N12" s="85">
        <f>I12/Constants!$H$17*1000</f>
        <v>9597.941896787981</v>
      </c>
      <c r="O12" s="86">
        <f>J12/Constants!$H$17*1000</f>
        <v>11197.598879585978</v>
      </c>
      <c r="P12" s="87">
        <f>K12/Constants!$H$17*1000</f>
        <v>12797.255862383978</v>
      </c>
    </row>
    <row r="13" spans="1:16" x14ac:dyDescent="0.35">
      <c r="A13" s="32">
        <v>12</v>
      </c>
      <c r="B13" s="99" t="s">
        <v>42</v>
      </c>
      <c r="C13" s="99" t="s">
        <v>43</v>
      </c>
      <c r="D13" s="34" t="s">
        <v>44</v>
      </c>
      <c r="E13" s="33">
        <v>5</v>
      </c>
      <c r="F13" s="111">
        <v>0.63</v>
      </c>
      <c r="G13" s="147">
        <v>107.36</v>
      </c>
      <c r="H13" s="52">
        <f>E13*$F$13</f>
        <v>3.15</v>
      </c>
      <c r="I13" s="47">
        <f>H13*Constants!$C$4</f>
        <v>3.78</v>
      </c>
      <c r="J13" s="48">
        <f>H13*Constants!$C$3</f>
        <v>4.4099999999999993</v>
      </c>
      <c r="K13" s="58">
        <f>H13*Constants!$C$2</f>
        <v>5.04</v>
      </c>
      <c r="M13" s="76">
        <f>H13/Constants!$H$17*1000</f>
        <v>1199.7427370984976</v>
      </c>
      <c r="N13" s="77">
        <f>I13/Constants!$H$17*1000</f>
        <v>1439.6912845181973</v>
      </c>
      <c r="O13" s="78">
        <f>J13/Constants!$H$17*1000</f>
        <v>1679.6398319378966</v>
      </c>
      <c r="P13" s="79">
        <f>K13/Constants!$H$17*1000</f>
        <v>1919.5883793575965</v>
      </c>
    </row>
    <row r="14" spans="1:16" x14ac:dyDescent="0.35">
      <c r="A14" s="21">
        <v>13</v>
      </c>
      <c r="B14" s="97"/>
      <c r="C14" s="97"/>
      <c r="D14" s="28" t="s">
        <v>45</v>
      </c>
      <c r="E14" s="23">
        <v>10</v>
      </c>
      <c r="F14" s="103"/>
      <c r="G14" s="145">
        <v>0</v>
      </c>
      <c r="H14" s="53">
        <f>E14*$F$13</f>
        <v>6.3</v>
      </c>
      <c r="I14" s="50">
        <f>H14*Constants!$C$4</f>
        <v>7.56</v>
      </c>
      <c r="J14" s="51">
        <f>H14*Constants!$C$3</f>
        <v>8.8199999999999985</v>
      </c>
      <c r="K14" s="59">
        <f>H14*Constants!$C$2</f>
        <v>10.08</v>
      </c>
      <c r="M14" s="80">
        <f>H14/Constants!$H$17*1000</f>
        <v>2399.4854741969953</v>
      </c>
      <c r="N14" s="81">
        <f>I14/Constants!$H$17*1000</f>
        <v>2879.3825690363947</v>
      </c>
      <c r="O14" s="82">
        <f>J14/Constants!$H$17*1000</f>
        <v>3359.2796638757932</v>
      </c>
      <c r="P14" s="83">
        <f>K14/Constants!$H$17*1000</f>
        <v>3839.176758715193</v>
      </c>
    </row>
    <row r="15" spans="1:16" x14ac:dyDescent="0.35">
      <c r="A15" s="21">
        <v>14</v>
      </c>
      <c r="B15" s="97"/>
      <c r="C15" s="97"/>
      <c r="D15" s="28" t="s">
        <v>46</v>
      </c>
      <c r="E15" s="23">
        <v>15</v>
      </c>
      <c r="F15" s="103"/>
      <c r="G15" s="145">
        <v>85.85</v>
      </c>
      <c r="H15" s="53">
        <f t="shared" ref="H15:H16" si="2">E15*$F$13</f>
        <v>9.4499999999999993</v>
      </c>
      <c r="I15" s="50">
        <f>H15*Constants!$C$4</f>
        <v>11.339999999999998</v>
      </c>
      <c r="J15" s="51">
        <f>H15*Constants!$C$3</f>
        <v>13.229999999999999</v>
      </c>
      <c r="K15" s="59">
        <f>H15*Constants!$C$2</f>
        <v>15.12</v>
      </c>
      <c r="M15" s="80">
        <f>H15/Constants!$H$17*1000</f>
        <v>3599.2282112954931</v>
      </c>
      <c r="N15" s="81">
        <f>I15/Constants!$H$17*1000</f>
        <v>4319.0738535545906</v>
      </c>
      <c r="O15" s="82">
        <f>J15/Constants!$H$17*1000</f>
        <v>5038.9194958136904</v>
      </c>
      <c r="P15" s="83">
        <f>K15/Constants!$H$17*1000</f>
        <v>5758.7651380727893</v>
      </c>
    </row>
    <row r="16" spans="1:16" ht="15" thickBot="1" x14ac:dyDescent="0.4">
      <c r="A16" s="24">
        <v>15</v>
      </c>
      <c r="B16" s="100"/>
      <c r="C16" s="100"/>
      <c r="D16" s="35" t="s">
        <v>47</v>
      </c>
      <c r="E16" s="26">
        <v>35</v>
      </c>
      <c r="F16" s="107"/>
      <c r="G16" s="149">
        <v>132.86000000000001</v>
      </c>
      <c r="H16" s="53">
        <f t="shared" si="2"/>
        <v>22.05</v>
      </c>
      <c r="I16" s="63">
        <f>H16*Constants!$C$4</f>
        <v>26.46</v>
      </c>
      <c r="J16" s="55">
        <f>H16*Constants!$C$3</f>
        <v>30.869999999999997</v>
      </c>
      <c r="K16" s="60">
        <f>H16*Constants!$C$2</f>
        <v>35.28</v>
      </c>
      <c r="M16" s="84">
        <f>H16/Constants!$H$17*1000</f>
        <v>8398.1991596894841</v>
      </c>
      <c r="N16" s="85">
        <f>I16/Constants!$H$17*1000</f>
        <v>10077.838991627381</v>
      </c>
      <c r="O16" s="86">
        <f>J16/Constants!$H$17*1000</f>
        <v>11757.478823565278</v>
      </c>
      <c r="P16" s="87">
        <f>K16/Constants!$H$17*1000</f>
        <v>13437.118655503175</v>
      </c>
    </row>
    <row r="17" spans="1:16" x14ac:dyDescent="0.35">
      <c r="A17" s="19">
        <v>16</v>
      </c>
      <c r="B17" s="96" t="s">
        <v>48</v>
      </c>
      <c r="C17" s="96" t="s">
        <v>49</v>
      </c>
      <c r="D17" s="27" t="s">
        <v>50</v>
      </c>
      <c r="E17" s="20">
        <v>4</v>
      </c>
      <c r="F17" s="101">
        <v>0.75</v>
      </c>
      <c r="G17" s="147">
        <v>88.02</v>
      </c>
      <c r="H17" s="52">
        <f>E17*$F$17</f>
        <v>3</v>
      </c>
      <c r="I17" s="65">
        <f>H17*Constants!$C$4</f>
        <v>3.5999999999999996</v>
      </c>
      <c r="J17" s="56">
        <f>H17*Constants!$C$3</f>
        <v>4.1999999999999993</v>
      </c>
      <c r="K17" s="61">
        <f>H17*Constants!$C$2</f>
        <v>4.8000000000000007</v>
      </c>
      <c r="M17" s="88">
        <f>H17/Constants!$H$17*1000</f>
        <v>1142.6121305699978</v>
      </c>
      <c r="N17" s="89">
        <f>I17/Constants!$H$17*1000</f>
        <v>1371.1345566839975</v>
      </c>
      <c r="O17" s="90">
        <f>J17/Constants!$H$17*1000</f>
        <v>1599.6569827979968</v>
      </c>
      <c r="P17" s="91">
        <f>K17/Constants!$H$17*1000</f>
        <v>1828.1794089119969</v>
      </c>
    </row>
    <row r="18" spans="1:16" x14ac:dyDescent="0.35">
      <c r="A18" s="21">
        <v>17</v>
      </c>
      <c r="B18" s="97"/>
      <c r="C18" s="97"/>
      <c r="D18" s="28" t="s">
        <v>51</v>
      </c>
      <c r="E18" s="23">
        <v>8</v>
      </c>
      <c r="F18" s="103"/>
      <c r="G18" s="145">
        <v>97.1</v>
      </c>
      <c r="H18" s="53">
        <f>E18*$F$17</f>
        <v>6</v>
      </c>
      <c r="I18" s="50">
        <f>H18*Constants!$C$4</f>
        <v>7.1999999999999993</v>
      </c>
      <c r="J18" s="51">
        <f>H18*Constants!$C$3</f>
        <v>8.3999999999999986</v>
      </c>
      <c r="K18" s="59">
        <f>H18*Constants!$C$2</f>
        <v>9.6000000000000014</v>
      </c>
      <c r="M18" s="80">
        <f>H18/Constants!$H$17*1000</f>
        <v>2285.2242611399956</v>
      </c>
      <c r="N18" s="81">
        <f>I18/Constants!$H$17*1000</f>
        <v>2742.269113367995</v>
      </c>
      <c r="O18" s="82">
        <f>J18/Constants!$H$17*1000</f>
        <v>3199.3139655959935</v>
      </c>
      <c r="P18" s="83">
        <f>K18/Constants!$H$17*1000</f>
        <v>3656.3588178239938</v>
      </c>
    </row>
    <row r="19" spans="1:16" x14ac:dyDescent="0.35">
      <c r="A19" s="21">
        <v>18</v>
      </c>
      <c r="B19" s="97"/>
      <c r="C19" s="97"/>
      <c r="D19" s="45" t="s">
        <v>52</v>
      </c>
      <c r="E19" s="23">
        <v>16</v>
      </c>
      <c r="F19" s="103"/>
      <c r="G19" s="146">
        <v>139.41</v>
      </c>
      <c r="H19" s="53">
        <f t="shared" ref="H19:H20" si="3">E19*$F$17</f>
        <v>12</v>
      </c>
      <c r="I19" s="50">
        <f>H19*Constants!$C$4</f>
        <v>14.399999999999999</v>
      </c>
      <c r="J19" s="51">
        <f>H19*Constants!$C$3</f>
        <v>16.799999999999997</v>
      </c>
      <c r="K19" s="59">
        <f>H19*Constants!$C$2</f>
        <v>19.200000000000003</v>
      </c>
      <c r="M19" s="80">
        <f>H19/Constants!$H$17*1000</f>
        <v>4570.4485222799913</v>
      </c>
      <c r="N19" s="81">
        <f>I19/Constants!$H$17*1000</f>
        <v>5484.5382267359901</v>
      </c>
      <c r="O19" s="82">
        <f>J19/Constants!$H$17*1000</f>
        <v>6398.627931191987</v>
      </c>
      <c r="P19" s="83">
        <f>K19/Constants!$H$17*1000</f>
        <v>7312.7176356479877</v>
      </c>
    </row>
    <row r="20" spans="1:16" ht="15" thickBot="1" x14ac:dyDescent="0.4">
      <c r="A20" s="29">
        <v>19</v>
      </c>
      <c r="B20" s="98"/>
      <c r="C20" s="98"/>
      <c r="D20" s="31" t="s">
        <v>53</v>
      </c>
      <c r="E20" s="30">
        <v>26</v>
      </c>
      <c r="F20" s="102"/>
      <c r="G20" s="149">
        <v>152.69</v>
      </c>
      <c r="H20" s="53">
        <f t="shared" si="3"/>
        <v>19.5</v>
      </c>
      <c r="I20" s="63">
        <f>H20*Constants!$C$4</f>
        <v>23.4</v>
      </c>
      <c r="J20" s="55">
        <f>H20*Constants!$C$3</f>
        <v>27.299999999999997</v>
      </c>
      <c r="K20" s="60">
        <f>H20*Constants!$C$2</f>
        <v>31.200000000000003</v>
      </c>
      <c r="M20" s="84">
        <f>H20/Constants!$H$17*1000</f>
        <v>7426.9788487049864</v>
      </c>
      <c r="N20" s="85">
        <f>I20/Constants!$H$17*1000</f>
        <v>8912.3746184459815</v>
      </c>
      <c r="O20" s="86">
        <f>J20/Constants!$H$17*1000</f>
        <v>10397.770388186978</v>
      </c>
      <c r="P20" s="87">
        <f>K20/Constants!$H$17*1000</f>
        <v>11883.166157927979</v>
      </c>
    </row>
    <row r="21" spans="1:16" x14ac:dyDescent="0.35">
      <c r="A21" s="19">
        <v>20</v>
      </c>
      <c r="B21" s="96" t="s">
        <v>54</v>
      </c>
      <c r="C21" s="96" t="s">
        <v>55</v>
      </c>
      <c r="D21" s="27" t="s">
        <v>56</v>
      </c>
      <c r="E21" s="20">
        <v>4</v>
      </c>
      <c r="F21" s="101">
        <v>0.9</v>
      </c>
      <c r="G21" s="147">
        <v>60.34</v>
      </c>
      <c r="H21" s="52">
        <f>E21*$F$21</f>
        <v>3.6</v>
      </c>
      <c r="I21" s="47">
        <f>H21*Constants!$C$4</f>
        <v>4.32</v>
      </c>
      <c r="J21" s="48">
        <f>H21*Constants!$C$3</f>
        <v>5.04</v>
      </c>
      <c r="K21" s="58">
        <f>H21*Constants!$C$2</f>
        <v>5.7600000000000007</v>
      </c>
      <c r="M21" s="88">
        <f>H21/Constants!$H$17*1000</f>
        <v>1371.1345566839975</v>
      </c>
      <c r="N21" s="89">
        <f>I21/Constants!$H$17*1000</f>
        <v>1645.361468020797</v>
      </c>
      <c r="O21" s="90">
        <f>J21/Constants!$H$17*1000</f>
        <v>1919.5883793575965</v>
      </c>
      <c r="P21" s="91">
        <f>K21/Constants!$H$17*1000</f>
        <v>2193.8152906943965</v>
      </c>
    </row>
    <row r="22" spans="1:16" x14ac:dyDescent="0.35">
      <c r="A22" s="21">
        <v>21</v>
      </c>
      <c r="B22" s="97"/>
      <c r="C22" s="97"/>
      <c r="D22" s="28" t="s">
        <v>57</v>
      </c>
      <c r="E22" s="23">
        <v>8</v>
      </c>
      <c r="F22" s="103"/>
      <c r="G22" s="145">
        <v>80.2</v>
      </c>
      <c r="H22" s="53">
        <f>E22*$F$21</f>
        <v>7.2</v>
      </c>
      <c r="I22" s="50">
        <f>H22*Constants!$C$4</f>
        <v>8.64</v>
      </c>
      <c r="J22" s="51">
        <f>H22*Constants!$C$3</f>
        <v>10.08</v>
      </c>
      <c r="K22" s="59">
        <f>H22*Constants!$C$2</f>
        <v>11.520000000000001</v>
      </c>
      <c r="M22" s="80">
        <f>H22/Constants!$H$17*1000</f>
        <v>2742.269113367995</v>
      </c>
      <c r="N22" s="81">
        <f>I22/Constants!$H$17*1000</f>
        <v>3290.722936041594</v>
      </c>
      <c r="O22" s="82">
        <f>J22/Constants!$H$17*1000</f>
        <v>3839.176758715193</v>
      </c>
      <c r="P22" s="83">
        <f>K22/Constants!$H$17*1000</f>
        <v>4387.630581388793</v>
      </c>
    </row>
    <row r="23" spans="1:16" x14ac:dyDescent="0.35">
      <c r="A23" s="21">
        <v>22</v>
      </c>
      <c r="B23" s="97"/>
      <c r="C23" s="97"/>
      <c r="D23" s="28" t="s">
        <v>58</v>
      </c>
      <c r="E23" s="23">
        <v>16</v>
      </c>
      <c r="F23" s="103"/>
      <c r="G23" s="145">
        <v>109.36</v>
      </c>
      <c r="H23" s="53">
        <f t="shared" ref="H23:H24" si="4">E23*$F$21</f>
        <v>14.4</v>
      </c>
      <c r="I23" s="50">
        <f>H23*Constants!$C$4</f>
        <v>17.28</v>
      </c>
      <c r="J23" s="51">
        <f>H23*Constants!$C$3</f>
        <v>20.16</v>
      </c>
      <c r="K23" s="59">
        <f>H23*Constants!$C$2</f>
        <v>23.040000000000003</v>
      </c>
      <c r="M23" s="80">
        <f>H23/Constants!$H$17*1000</f>
        <v>5484.5382267359901</v>
      </c>
      <c r="N23" s="81">
        <f>I23/Constants!$H$17*1000</f>
        <v>6581.4458720831881</v>
      </c>
      <c r="O23" s="82">
        <f>J23/Constants!$H$17*1000</f>
        <v>7678.3535174303861</v>
      </c>
      <c r="P23" s="83">
        <f>K23/Constants!$H$17*1000</f>
        <v>8775.2611627775859</v>
      </c>
    </row>
    <row r="24" spans="1:16" ht="15" thickBot="1" x14ac:dyDescent="0.4">
      <c r="A24" s="29">
        <v>23</v>
      </c>
      <c r="B24" s="98"/>
      <c r="C24" s="98"/>
      <c r="D24" s="31" t="s">
        <v>59</v>
      </c>
      <c r="E24" s="30">
        <v>27</v>
      </c>
      <c r="F24" s="102"/>
      <c r="G24" s="149">
        <v>186.98</v>
      </c>
      <c r="H24" s="53">
        <f t="shared" si="4"/>
        <v>24.3</v>
      </c>
      <c r="I24" s="63">
        <f>H24*Constants!$C$4</f>
        <v>29.16</v>
      </c>
      <c r="J24" s="55">
        <f>H24*Constants!$C$3</f>
        <v>34.019999999999996</v>
      </c>
      <c r="K24" s="60">
        <f>H24*Constants!$C$2</f>
        <v>38.880000000000003</v>
      </c>
      <c r="M24" s="84">
        <f>H24/Constants!$H$17*1000</f>
        <v>9255.158257616984</v>
      </c>
      <c r="N24" s="85">
        <f>I24/Constants!$H$17*1000</f>
        <v>11106.189909140379</v>
      </c>
      <c r="O24" s="86">
        <f>J24/Constants!$H$17*1000</f>
        <v>12957.221560663775</v>
      </c>
      <c r="P24" s="87">
        <f>K24/Constants!$H$17*1000</f>
        <v>14808.253212187174</v>
      </c>
    </row>
    <row r="25" spans="1:16" x14ac:dyDescent="0.35">
      <c r="A25" s="19">
        <v>24</v>
      </c>
      <c r="B25" s="96" t="s">
        <v>60</v>
      </c>
      <c r="C25" s="96" t="s">
        <v>61</v>
      </c>
      <c r="D25" s="27" t="s">
        <v>62</v>
      </c>
      <c r="E25" s="20">
        <v>16</v>
      </c>
      <c r="F25" s="101">
        <v>0.85</v>
      </c>
      <c r="G25" s="147">
        <v>268.27999999999997</v>
      </c>
      <c r="H25" s="52">
        <f>E25*$F$25</f>
        <v>13.6</v>
      </c>
      <c r="I25" s="47">
        <f>H25*Constants!$C$4</f>
        <v>16.32</v>
      </c>
      <c r="J25" s="48">
        <f>H25*Constants!$C$3</f>
        <v>19.04</v>
      </c>
      <c r="K25" s="58">
        <f>H25*Constants!$C$2</f>
        <v>21.76</v>
      </c>
      <c r="M25" s="76">
        <f>H25/Constants!$H$17*1000</f>
        <v>5179.8416585839905</v>
      </c>
      <c r="N25" s="77">
        <f>I25/Constants!$H$17*1000</f>
        <v>6215.8099903007887</v>
      </c>
      <c r="O25" s="78">
        <f>J25/Constants!$H$17*1000</f>
        <v>7251.778322017587</v>
      </c>
      <c r="P25" s="79">
        <f>K25/Constants!$H$17*1000</f>
        <v>8287.7466537343862</v>
      </c>
    </row>
    <row r="26" spans="1:16" ht="15" thickBot="1" x14ac:dyDescent="0.4">
      <c r="A26" s="29">
        <v>25</v>
      </c>
      <c r="B26" s="98"/>
      <c r="C26" s="98"/>
      <c r="D26" s="31" t="s">
        <v>63</v>
      </c>
      <c r="E26" s="30">
        <v>27</v>
      </c>
      <c r="F26" s="102"/>
      <c r="G26" s="149">
        <v>341.35</v>
      </c>
      <c r="H26" s="54">
        <f>E26*$F$25</f>
        <v>22.95</v>
      </c>
      <c r="I26" s="63">
        <f>H26*Constants!$C$4</f>
        <v>27.54</v>
      </c>
      <c r="J26" s="55">
        <f>H26*Constants!$C$3</f>
        <v>32.129999999999995</v>
      </c>
      <c r="K26" s="60">
        <f>H26*Constants!$C$2</f>
        <v>36.72</v>
      </c>
      <c r="M26" s="84">
        <f>H26/Constants!$H$17*1000</f>
        <v>8740.9827988604848</v>
      </c>
      <c r="N26" s="85">
        <f>I26/Constants!$H$17*1000</f>
        <v>10489.17935863258</v>
      </c>
      <c r="O26" s="86">
        <f>J26/Constants!$H$17*1000</f>
        <v>12237.375918404676</v>
      </c>
      <c r="P26" s="87">
        <f>K26/Constants!$H$17*1000</f>
        <v>13985.572478176775</v>
      </c>
    </row>
    <row r="27" spans="1:16" x14ac:dyDescent="0.35">
      <c r="A27" s="19">
        <v>26</v>
      </c>
      <c r="B27" s="96" t="s">
        <v>64</v>
      </c>
      <c r="C27" s="96" t="s">
        <v>65</v>
      </c>
      <c r="D27" s="27" t="s">
        <v>66</v>
      </c>
      <c r="E27" s="20">
        <v>4</v>
      </c>
      <c r="F27" s="101">
        <v>0.9</v>
      </c>
      <c r="G27" s="147">
        <v>137.81</v>
      </c>
      <c r="H27" s="52">
        <f>E27*$F$27</f>
        <v>3.6</v>
      </c>
      <c r="I27" s="47">
        <f>H27*Constants!$C$4</f>
        <v>4.32</v>
      </c>
      <c r="J27" s="48">
        <f>H27*Constants!$C$3</f>
        <v>5.04</v>
      </c>
      <c r="K27" s="58">
        <f>H27*Constants!$C$2</f>
        <v>5.7600000000000007</v>
      </c>
      <c r="M27" s="88">
        <f>H27/Constants!$H$17*1000</f>
        <v>1371.1345566839975</v>
      </c>
      <c r="N27" s="89">
        <f>I27/Constants!$H$17*1000</f>
        <v>1645.361468020797</v>
      </c>
      <c r="O27" s="90">
        <f>J27/Constants!$H$17*1000</f>
        <v>1919.5883793575965</v>
      </c>
      <c r="P27" s="91">
        <f>K27/Constants!$H$17*1000</f>
        <v>2193.8152906943965</v>
      </c>
    </row>
    <row r="28" spans="1:16" x14ac:dyDescent="0.35">
      <c r="A28" s="21">
        <v>27</v>
      </c>
      <c r="B28" s="97"/>
      <c r="C28" s="97"/>
      <c r="D28" s="28" t="s">
        <v>67</v>
      </c>
      <c r="E28" s="23">
        <v>8</v>
      </c>
      <c r="F28" s="103"/>
      <c r="G28" s="145">
        <v>158.68</v>
      </c>
      <c r="H28" s="53">
        <f>E28*$F$27</f>
        <v>7.2</v>
      </c>
      <c r="I28" s="50">
        <f>H28*Constants!$C$4</f>
        <v>8.64</v>
      </c>
      <c r="J28" s="51">
        <f>H28*Constants!$C$3</f>
        <v>10.08</v>
      </c>
      <c r="K28" s="59">
        <f>H28*Constants!$C$2</f>
        <v>11.520000000000001</v>
      </c>
      <c r="M28" s="80">
        <f>H28/Constants!$H$17*1000</f>
        <v>2742.269113367995</v>
      </c>
      <c r="N28" s="81">
        <f>I28/Constants!$H$17*1000</f>
        <v>3290.722936041594</v>
      </c>
      <c r="O28" s="82">
        <f>J28/Constants!$H$17*1000</f>
        <v>3839.176758715193</v>
      </c>
      <c r="P28" s="83">
        <f>K28/Constants!$H$17*1000</f>
        <v>4387.630581388793</v>
      </c>
    </row>
    <row r="29" spans="1:16" x14ac:dyDescent="0.35">
      <c r="A29" s="21">
        <v>28</v>
      </c>
      <c r="B29" s="97"/>
      <c r="C29" s="97"/>
      <c r="D29" s="28" t="s">
        <v>68</v>
      </c>
      <c r="E29" s="23">
        <v>16</v>
      </c>
      <c r="F29" s="103"/>
      <c r="G29" s="145">
        <v>308.66000000000003</v>
      </c>
      <c r="H29" s="53">
        <f t="shared" ref="H29:H30" si="5">E29*$F$27</f>
        <v>14.4</v>
      </c>
      <c r="I29" s="50">
        <f>H29*Constants!$C$4</f>
        <v>17.28</v>
      </c>
      <c r="J29" s="51">
        <f>H29*Constants!$C$3</f>
        <v>20.16</v>
      </c>
      <c r="K29" s="59">
        <f>H29*Constants!$C$2</f>
        <v>23.040000000000003</v>
      </c>
      <c r="M29" s="80">
        <f>H29/Constants!$H$17*1000</f>
        <v>5484.5382267359901</v>
      </c>
      <c r="N29" s="81">
        <f>I29/Constants!$H$17*1000</f>
        <v>6581.4458720831881</v>
      </c>
      <c r="O29" s="82">
        <f>J29/Constants!$H$17*1000</f>
        <v>7678.3535174303861</v>
      </c>
      <c r="P29" s="83">
        <f>K29/Constants!$H$17*1000</f>
        <v>8775.2611627775859</v>
      </c>
    </row>
    <row r="30" spans="1:16" ht="15" thickBot="1" x14ac:dyDescent="0.4">
      <c r="A30" s="29">
        <v>29</v>
      </c>
      <c r="B30" s="98"/>
      <c r="C30" s="98"/>
      <c r="D30" s="31" t="s">
        <v>69</v>
      </c>
      <c r="E30" s="30">
        <v>27</v>
      </c>
      <c r="F30" s="102"/>
      <c r="G30" s="149">
        <v>276.95999999999998</v>
      </c>
      <c r="H30" s="54">
        <f t="shared" si="5"/>
        <v>24.3</v>
      </c>
      <c r="I30" s="63">
        <f>H30*Constants!$C$4</f>
        <v>29.16</v>
      </c>
      <c r="J30" s="55">
        <f>H30*Constants!$C$3</f>
        <v>34.019999999999996</v>
      </c>
      <c r="K30" s="60">
        <f>H30*Constants!$C$2</f>
        <v>38.880000000000003</v>
      </c>
      <c r="M30" s="84">
        <f>H30/Constants!$H$17*1000</f>
        <v>9255.158257616984</v>
      </c>
      <c r="N30" s="85">
        <f>I30/Constants!$H$17*1000</f>
        <v>11106.189909140379</v>
      </c>
      <c r="O30" s="86">
        <f>J30/Constants!$H$17*1000</f>
        <v>12957.221560663775</v>
      </c>
      <c r="P30" s="87">
        <f>K30/Constants!$H$17*1000</f>
        <v>14808.253212187174</v>
      </c>
    </row>
    <row r="31" spans="1:16" x14ac:dyDescent="0.35">
      <c r="A31" s="32">
        <v>30</v>
      </c>
      <c r="B31" s="99" t="s">
        <v>70</v>
      </c>
      <c r="C31" s="99" t="s">
        <v>71</v>
      </c>
      <c r="D31" s="46" t="s">
        <v>72</v>
      </c>
      <c r="E31" s="33">
        <v>4</v>
      </c>
      <c r="F31" s="104">
        <v>0.9</v>
      </c>
      <c r="G31" s="150">
        <v>169.32</v>
      </c>
      <c r="H31" s="62">
        <f>E31*$F$31</f>
        <v>3.6</v>
      </c>
      <c r="I31" s="65">
        <f>H31*Constants!$C$4</f>
        <v>4.32</v>
      </c>
      <c r="J31" s="56">
        <f>H31*Constants!$C$3</f>
        <v>5.04</v>
      </c>
      <c r="K31" s="61">
        <f>H31*Constants!$C$2</f>
        <v>5.7600000000000007</v>
      </c>
      <c r="M31" s="88">
        <f>H31/Constants!$H$17*1000</f>
        <v>1371.1345566839975</v>
      </c>
      <c r="N31" s="89">
        <f>I31/Constants!$H$17*1000</f>
        <v>1645.361468020797</v>
      </c>
      <c r="O31" s="90">
        <f>J31/Constants!$H$17*1000</f>
        <v>1919.5883793575965</v>
      </c>
      <c r="P31" s="91">
        <f>K31/Constants!$H$17*1000</f>
        <v>2193.8152906943965</v>
      </c>
    </row>
    <row r="32" spans="1:16" x14ac:dyDescent="0.35">
      <c r="A32" s="21">
        <v>31</v>
      </c>
      <c r="B32" s="97"/>
      <c r="C32" s="97"/>
      <c r="D32" s="45" t="s">
        <v>73</v>
      </c>
      <c r="E32" s="23">
        <v>10</v>
      </c>
      <c r="F32" s="105"/>
      <c r="G32" s="146">
        <v>217.59</v>
      </c>
      <c r="H32" s="53">
        <f>E32*$F$31</f>
        <v>9</v>
      </c>
      <c r="I32" s="50">
        <f>H32*Constants!$C$4</f>
        <v>10.799999999999999</v>
      </c>
      <c r="J32" s="51">
        <f>H32*Constants!$C$3</f>
        <v>12.6</v>
      </c>
      <c r="K32" s="59">
        <f>H32*Constants!$C$2</f>
        <v>14.4</v>
      </c>
      <c r="M32" s="80">
        <f>H32/Constants!$H$17*1000</f>
        <v>3427.8363917099937</v>
      </c>
      <c r="N32" s="81">
        <f>I32/Constants!$H$17*1000</f>
        <v>4113.4036700519928</v>
      </c>
      <c r="O32" s="82">
        <f>J32/Constants!$H$17*1000</f>
        <v>4798.9709483939905</v>
      </c>
      <c r="P32" s="83">
        <f>K32/Constants!$H$17*1000</f>
        <v>5484.5382267359901</v>
      </c>
    </row>
    <row r="33" spans="1:16" ht="15" thickBot="1" x14ac:dyDescent="0.4">
      <c r="A33" s="29">
        <v>32</v>
      </c>
      <c r="B33" s="98"/>
      <c r="C33" s="98"/>
      <c r="D33" s="44" t="s">
        <v>74</v>
      </c>
      <c r="E33" s="30">
        <v>16</v>
      </c>
      <c r="F33" s="106"/>
      <c r="G33" s="148">
        <v>411.05</v>
      </c>
      <c r="H33" s="54">
        <f>E33*$F$31</f>
        <v>14.4</v>
      </c>
      <c r="I33" s="63">
        <f>H33*Constants!$C$4</f>
        <v>17.28</v>
      </c>
      <c r="J33" s="55">
        <f>H33*Constants!$C$3</f>
        <v>20.16</v>
      </c>
      <c r="K33" s="60">
        <f>H33*Constants!$C$2</f>
        <v>23.040000000000003</v>
      </c>
      <c r="M33" s="84">
        <f>H33/Constants!$H$17*1000</f>
        <v>5484.5382267359901</v>
      </c>
      <c r="N33" s="85">
        <f>I33/Constants!$H$17*1000</f>
        <v>6581.4458720831881</v>
      </c>
      <c r="O33" s="86">
        <f>J33/Constants!$H$17*1000</f>
        <v>7678.3535174303861</v>
      </c>
      <c r="P33" s="87">
        <f>K33/Constants!$H$17*1000</f>
        <v>8775.2611627775859</v>
      </c>
    </row>
  </sheetData>
  <mergeCells count="27">
    <mergeCell ref="F25:F26"/>
    <mergeCell ref="F27:F30"/>
    <mergeCell ref="F31:F33"/>
    <mergeCell ref="F2:F4"/>
    <mergeCell ref="F5:F8"/>
    <mergeCell ref="F9:F12"/>
    <mergeCell ref="F13:F16"/>
    <mergeCell ref="F17:F20"/>
    <mergeCell ref="F21:F24"/>
    <mergeCell ref="B25:B26"/>
    <mergeCell ref="C25:C26"/>
    <mergeCell ref="B27:B30"/>
    <mergeCell ref="C27:C30"/>
    <mergeCell ref="B31:B33"/>
    <mergeCell ref="C31:C33"/>
    <mergeCell ref="B13:B16"/>
    <mergeCell ref="C13:C16"/>
    <mergeCell ref="B17:B20"/>
    <mergeCell ref="C17:C20"/>
    <mergeCell ref="B21:B24"/>
    <mergeCell ref="C21:C24"/>
    <mergeCell ref="B2:B4"/>
    <mergeCell ref="C2:C4"/>
    <mergeCell ref="B5:B8"/>
    <mergeCell ref="C5:C8"/>
    <mergeCell ref="B9:B12"/>
    <mergeCell ref="C9:C12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34EAE-25FA-4A67-A1A6-ED33005EA2A4}">
  <dimension ref="A1:R609"/>
  <sheetViews>
    <sheetView topLeftCell="A35" workbookViewId="0">
      <selection activeCell="A5" sqref="A5"/>
    </sheetView>
  </sheetViews>
  <sheetFormatPr defaultColWidth="9.1796875" defaultRowHeight="14.5" x14ac:dyDescent="0.35"/>
  <cols>
    <col min="1" max="1" width="16" style="5" customWidth="1"/>
    <col min="2" max="2" width="13.7265625" style="5" customWidth="1"/>
    <col min="3" max="3" width="11.26953125" style="5" customWidth="1"/>
    <col min="4" max="4" width="11.453125" style="5" customWidth="1"/>
    <col min="5" max="5" width="20" style="5" customWidth="1"/>
    <col min="6" max="6" width="11" style="5" customWidth="1"/>
    <col min="7" max="7" width="12.7265625" style="5" customWidth="1"/>
    <col min="8" max="8" width="12.453125" style="5" customWidth="1"/>
    <col min="9" max="9" width="13" style="5" customWidth="1"/>
    <col min="10" max="10" width="13.7265625" style="5" customWidth="1"/>
    <col min="11" max="11" width="22.54296875" style="5" customWidth="1"/>
    <col min="12" max="12" width="11.54296875" style="5" customWidth="1"/>
    <col min="13" max="13" width="17.453125" style="5" customWidth="1"/>
    <col min="14" max="14" width="16.453125" style="5" customWidth="1"/>
    <col min="15" max="16384" width="9.1796875" style="5"/>
  </cols>
  <sheetData>
    <row r="1" spans="1:15" ht="27.75" customHeight="1" x14ac:dyDescent="0.35">
      <c r="A1" s="1"/>
      <c r="B1" s="1"/>
      <c r="C1" s="1"/>
      <c r="D1" s="1"/>
      <c r="E1" s="1"/>
      <c r="I1" s="113" t="s">
        <v>0</v>
      </c>
      <c r="J1" s="113"/>
      <c r="K1" s="113"/>
      <c r="L1" s="113"/>
      <c r="M1" s="113"/>
    </row>
    <row r="3" spans="1:15" ht="17.5" x14ac:dyDescent="0.35">
      <c r="I3" s="112" t="s">
        <v>1</v>
      </c>
      <c r="J3" s="112"/>
      <c r="K3" s="112"/>
      <c r="L3" s="112"/>
      <c r="M3" s="112"/>
      <c r="N3" s="112"/>
    </row>
    <row r="4" spans="1:15" ht="34" x14ac:dyDescent="0.35">
      <c r="A4" s="8" t="s">
        <v>2</v>
      </c>
      <c r="B4" s="10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</row>
    <row r="5" spans="1:15" ht="17" x14ac:dyDescent="0.35">
      <c r="A5" s="9">
        <v>63.151000000000003</v>
      </c>
      <c r="B5" s="11">
        <v>0.12520000000000001</v>
      </c>
      <c r="C5" s="6">
        <v>30.957000000000001</v>
      </c>
      <c r="D5" s="6">
        <v>3.2302999999999998E-2</v>
      </c>
      <c r="E5" s="6">
        <v>-4.2229999999999999</v>
      </c>
      <c r="F5" s="6">
        <v>-4.2225999999999999</v>
      </c>
      <c r="G5" s="6">
        <v>67.950999999999993</v>
      </c>
      <c r="H5" s="6">
        <v>32.951000000000001</v>
      </c>
      <c r="I5" s="6">
        <v>56.033000000000001</v>
      </c>
      <c r="J5" s="6">
        <v>995.28</v>
      </c>
      <c r="K5" s="6">
        <v>-4.0418999999999997E-2</v>
      </c>
      <c r="L5" s="6">
        <v>311.58999999999997</v>
      </c>
      <c r="M5" s="6">
        <v>0.17327999999999999</v>
      </c>
      <c r="N5" s="6">
        <v>1.2205000000000001E-2</v>
      </c>
      <c r="O5" s="6" t="s">
        <v>17</v>
      </c>
    </row>
    <row r="6" spans="1:15" ht="17" x14ac:dyDescent="0.35">
      <c r="A6" s="9">
        <v>65.244</v>
      </c>
      <c r="B6" s="11">
        <v>0.18149000000000001</v>
      </c>
      <c r="C6" s="6">
        <v>30.649000000000001</v>
      </c>
      <c r="D6" s="6">
        <v>3.2627000000000003E-2</v>
      </c>
      <c r="E6" s="6">
        <v>-4.1056999999999997</v>
      </c>
      <c r="F6" s="6">
        <v>-4.1051000000000002</v>
      </c>
      <c r="G6" s="6">
        <v>69.778999999999996</v>
      </c>
      <c r="H6" s="6">
        <v>32.543999999999997</v>
      </c>
      <c r="I6" s="6">
        <v>56.134</v>
      </c>
      <c r="J6" s="6">
        <v>973.87</v>
      </c>
      <c r="K6" s="6">
        <v>-3.9751000000000002E-2</v>
      </c>
      <c r="L6" s="6">
        <v>278.48</v>
      </c>
      <c r="M6" s="6">
        <v>0.16905999999999999</v>
      </c>
      <c r="N6" s="6">
        <v>1.1702000000000001E-2</v>
      </c>
      <c r="O6" s="6" t="s">
        <v>17</v>
      </c>
    </row>
    <row r="7" spans="1:15" ht="17" x14ac:dyDescent="0.35">
      <c r="A7" s="9">
        <v>66.866</v>
      </c>
      <c r="B7" s="11">
        <v>0.23777999999999999</v>
      </c>
      <c r="C7" s="6">
        <v>30.407</v>
      </c>
      <c r="D7" s="6">
        <v>3.2887E-2</v>
      </c>
      <c r="E7" s="6">
        <v>-4.0147000000000004</v>
      </c>
      <c r="F7" s="6">
        <v>-4.0138999999999996</v>
      </c>
      <c r="G7" s="6">
        <v>71.156999999999996</v>
      </c>
      <c r="H7" s="6">
        <v>32.232999999999997</v>
      </c>
      <c r="I7" s="6">
        <v>56.222999999999999</v>
      </c>
      <c r="J7" s="6">
        <v>957.4</v>
      </c>
      <c r="K7" s="6">
        <v>-3.9183999999999997E-2</v>
      </c>
      <c r="L7" s="6">
        <v>256.27</v>
      </c>
      <c r="M7" s="6">
        <v>0.1658</v>
      </c>
      <c r="N7" s="6">
        <v>1.1316E-2</v>
      </c>
      <c r="O7" s="6" t="s">
        <v>17</v>
      </c>
    </row>
    <row r="8" spans="1:15" ht="17" x14ac:dyDescent="0.35">
      <c r="A8" s="9">
        <v>68.206000000000003</v>
      </c>
      <c r="B8" s="11">
        <v>0.29407</v>
      </c>
      <c r="C8" s="6">
        <v>30.206</v>
      </c>
      <c r="D8" s="6">
        <v>3.3106999999999998E-2</v>
      </c>
      <c r="E8" s="6">
        <v>-3.9392999999999998</v>
      </c>
      <c r="F8" s="6">
        <v>-3.9384000000000001</v>
      </c>
      <c r="G8" s="6">
        <v>72.272999999999996</v>
      </c>
      <c r="H8" s="6">
        <v>31.978999999999999</v>
      </c>
      <c r="I8" s="6">
        <v>56.305999999999997</v>
      </c>
      <c r="J8" s="6">
        <v>943.85</v>
      </c>
      <c r="K8" s="6">
        <v>-3.8679999999999999E-2</v>
      </c>
      <c r="L8" s="6">
        <v>239.85</v>
      </c>
      <c r="M8" s="6">
        <v>0.16311</v>
      </c>
      <c r="N8" s="6">
        <v>1.0998000000000001E-2</v>
      </c>
      <c r="O8" s="6" t="s">
        <v>17</v>
      </c>
    </row>
    <row r="9" spans="1:15" ht="17" x14ac:dyDescent="0.35">
      <c r="A9" s="9">
        <v>69.355000000000004</v>
      </c>
      <c r="B9" s="11">
        <v>0.35036</v>
      </c>
      <c r="C9" s="6">
        <v>30.030999999999999</v>
      </c>
      <c r="D9" s="6">
        <v>3.3299000000000002E-2</v>
      </c>
      <c r="E9" s="6">
        <v>-3.8746</v>
      </c>
      <c r="F9" s="6">
        <v>-3.8734999999999999</v>
      </c>
      <c r="G9" s="6">
        <v>73.213999999999999</v>
      </c>
      <c r="H9" s="6">
        <v>31.765000000000001</v>
      </c>
      <c r="I9" s="6">
        <v>56.384999999999998</v>
      </c>
      <c r="J9" s="6">
        <v>932.24</v>
      </c>
      <c r="K9" s="6">
        <v>-3.8218000000000002E-2</v>
      </c>
      <c r="L9" s="6">
        <v>226.99</v>
      </c>
      <c r="M9" s="6">
        <v>0.16081000000000001</v>
      </c>
      <c r="N9" s="6">
        <v>1.0727E-2</v>
      </c>
      <c r="O9" s="6" t="s">
        <v>17</v>
      </c>
    </row>
    <row r="10" spans="1:15" ht="17" x14ac:dyDescent="0.35">
      <c r="A10" s="9">
        <v>70.367999999999995</v>
      </c>
      <c r="B10" s="11">
        <v>0.40665000000000001</v>
      </c>
      <c r="C10" s="6">
        <v>29.876000000000001</v>
      </c>
      <c r="D10" s="6">
        <v>3.3471000000000001E-2</v>
      </c>
      <c r="E10" s="6">
        <v>-3.8176000000000001</v>
      </c>
      <c r="F10" s="6">
        <v>-3.8161999999999998</v>
      </c>
      <c r="G10" s="6">
        <v>74.03</v>
      </c>
      <c r="H10" s="6">
        <v>31.577999999999999</v>
      </c>
      <c r="I10" s="6">
        <v>56.460999999999999</v>
      </c>
      <c r="J10" s="6">
        <v>922.03</v>
      </c>
      <c r="K10" s="6">
        <v>-3.7789000000000003E-2</v>
      </c>
      <c r="L10" s="6">
        <v>216.5</v>
      </c>
      <c r="M10" s="6">
        <v>0.15878</v>
      </c>
      <c r="N10" s="6">
        <v>1.0489999999999999E-2</v>
      </c>
      <c r="O10" s="6" t="s">
        <v>17</v>
      </c>
    </row>
    <row r="11" spans="1:15" ht="17" x14ac:dyDescent="0.35">
      <c r="A11" s="9">
        <v>71.275000000000006</v>
      </c>
      <c r="B11" s="11">
        <v>0.46294999999999997</v>
      </c>
      <c r="C11" s="6">
        <v>29.736000000000001</v>
      </c>
      <c r="D11" s="6">
        <v>3.3628999999999999E-2</v>
      </c>
      <c r="E11" s="6">
        <v>-3.7664</v>
      </c>
      <c r="F11" s="6">
        <v>-3.7648000000000001</v>
      </c>
      <c r="G11" s="6">
        <v>74.753</v>
      </c>
      <c r="H11" s="6">
        <v>31.413</v>
      </c>
      <c r="I11" s="6">
        <v>56.534999999999997</v>
      </c>
      <c r="J11" s="6">
        <v>912.88</v>
      </c>
      <c r="K11" s="6">
        <v>-3.7384000000000001E-2</v>
      </c>
      <c r="L11" s="6">
        <v>207.71</v>
      </c>
      <c r="M11" s="6">
        <v>0.15697</v>
      </c>
      <c r="N11" s="6">
        <v>1.0277E-2</v>
      </c>
      <c r="O11" s="6" t="s">
        <v>17</v>
      </c>
    </row>
    <row r="12" spans="1:15" ht="17" x14ac:dyDescent="0.35">
      <c r="A12" s="9">
        <v>72.099999999999994</v>
      </c>
      <c r="B12" s="11">
        <v>0.51924000000000003</v>
      </c>
      <c r="C12" s="6">
        <v>29.609000000000002</v>
      </c>
      <c r="D12" s="6">
        <v>3.3773999999999998E-2</v>
      </c>
      <c r="E12" s="6">
        <v>-3.7198000000000002</v>
      </c>
      <c r="F12" s="6">
        <v>-3.718</v>
      </c>
      <c r="G12" s="6">
        <v>75.403000000000006</v>
      </c>
      <c r="H12" s="6">
        <v>31.265000000000001</v>
      </c>
      <c r="I12" s="6">
        <v>56.606000000000002</v>
      </c>
      <c r="J12" s="6">
        <v>904.57</v>
      </c>
      <c r="K12" s="6">
        <v>-3.6998999999999997E-2</v>
      </c>
      <c r="L12" s="6">
        <v>200.18</v>
      </c>
      <c r="M12" s="6">
        <v>0.15532000000000001</v>
      </c>
      <c r="N12" s="6">
        <v>1.0085E-2</v>
      </c>
      <c r="O12" s="6" t="s">
        <v>17</v>
      </c>
    </row>
    <row r="13" spans="1:15" ht="17" x14ac:dyDescent="0.35">
      <c r="A13" s="9">
        <v>72.858000000000004</v>
      </c>
      <c r="B13" s="11">
        <v>0.57552999999999999</v>
      </c>
      <c r="C13" s="6">
        <v>29.49</v>
      </c>
      <c r="D13" s="6">
        <v>3.3909000000000002E-2</v>
      </c>
      <c r="E13" s="6">
        <v>-3.6768999999999998</v>
      </c>
      <c r="F13" s="6">
        <v>-3.6749999999999998</v>
      </c>
      <c r="G13" s="6">
        <v>75.995000000000005</v>
      </c>
      <c r="H13" s="6">
        <v>31.131</v>
      </c>
      <c r="I13" s="6">
        <v>56.676000000000002</v>
      </c>
      <c r="J13" s="6">
        <v>896.92</v>
      </c>
      <c r="K13" s="6">
        <v>-3.6630000000000003E-2</v>
      </c>
      <c r="L13" s="6">
        <v>193.62</v>
      </c>
      <c r="M13" s="6">
        <v>0.15381</v>
      </c>
      <c r="N13" s="6">
        <v>9.9095999999999993E-3</v>
      </c>
      <c r="O13" s="6" t="s">
        <v>17</v>
      </c>
    </row>
    <row r="14" spans="1:15" ht="17" x14ac:dyDescent="0.35">
      <c r="A14" s="9">
        <v>73.561000000000007</v>
      </c>
      <c r="B14" s="11">
        <v>0.63182000000000005</v>
      </c>
      <c r="C14" s="6">
        <v>29.38</v>
      </c>
      <c r="D14" s="6">
        <v>3.4035999999999997E-2</v>
      </c>
      <c r="E14" s="6">
        <v>-3.6372</v>
      </c>
      <c r="F14" s="6">
        <v>-3.6349999999999998</v>
      </c>
      <c r="G14" s="6">
        <v>76.537999999999997</v>
      </c>
      <c r="H14" s="6">
        <v>31.007999999999999</v>
      </c>
      <c r="I14" s="6">
        <v>56.744999999999997</v>
      </c>
      <c r="J14" s="6">
        <v>889.83</v>
      </c>
      <c r="K14" s="6">
        <v>-3.6275000000000002E-2</v>
      </c>
      <c r="L14" s="6">
        <v>187.82</v>
      </c>
      <c r="M14" s="6">
        <v>0.15240999999999999</v>
      </c>
      <c r="N14" s="6">
        <v>9.7473000000000004E-3</v>
      </c>
      <c r="O14" s="6" t="s">
        <v>17</v>
      </c>
    </row>
    <row r="15" spans="1:15" ht="17" x14ac:dyDescent="0.35">
      <c r="A15" s="9">
        <v>74.215999999999994</v>
      </c>
      <c r="B15" s="11">
        <v>0.68811</v>
      </c>
      <c r="C15" s="6">
        <v>29.277000000000001</v>
      </c>
      <c r="D15" s="6">
        <v>3.4155999999999999E-2</v>
      </c>
      <c r="E15" s="6">
        <v>-3.6000999999999999</v>
      </c>
      <c r="F15" s="6">
        <v>-3.5977000000000001</v>
      </c>
      <c r="G15" s="6">
        <v>77.040999999999997</v>
      </c>
      <c r="H15" s="6">
        <v>30.895</v>
      </c>
      <c r="I15" s="6">
        <v>56.813000000000002</v>
      </c>
      <c r="J15" s="6">
        <v>883.21</v>
      </c>
      <c r="K15" s="6">
        <v>-3.5931999999999999E-2</v>
      </c>
      <c r="L15" s="6">
        <v>182.65</v>
      </c>
      <c r="M15" s="6">
        <v>0.15110000000000001</v>
      </c>
      <c r="N15" s="6">
        <v>9.5963000000000003E-3</v>
      </c>
      <c r="O15" s="6" t="s">
        <v>17</v>
      </c>
    </row>
    <row r="16" spans="1:15" ht="17" x14ac:dyDescent="0.35">
      <c r="A16" s="9">
        <v>74.831000000000003</v>
      </c>
      <c r="B16" s="11">
        <v>0.74439999999999995</v>
      </c>
      <c r="C16" s="6">
        <v>29.18</v>
      </c>
      <c r="D16" s="6">
        <v>3.4271000000000003E-2</v>
      </c>
      <c r="E16" s="6">
        <v>-3.5651999999999999</v>
      </c>
      <c r="F16" s="6">
        <v>-3.5626000000000002</v>
      </c>
      <c r="G16" s="6">
        <v>77.509</v>
      </c>
      <c r="H16" s="6">
        <v>30.789000000000001</v>
      </c>
      <c r="I16" s="6">
        <v>56.88</v>
      </c>
      <c r="J16" s="6">
        <v>876.99</v>
      </c>
      <c r="K16" s="6">
        <v>-3.5598999999999999E-2</v>
      </c>
      <c r="L16" s="6">
        <v>177.99</v>
      </c>
      <c r="M16" s="6">
        <v>0.14987</v>
      </c>
      <c r="N16" s="6">
        <v>9.4549000000000005E-3</v>
      </c>
      <c r="O16" s="6" t="s">
        <v>17</v>
      </c>
    </row>
    <row r="17" spans="1:15" ht="17" x14ac:dyDescent="0.35">
      <c r="A17" s="9">
        <v>75.412000000000006</v>
      </c>
      <c r="B17" s="11">
        <v>0.80069000000000001</v>
      </c>
      <c r="C17" s="6">
        <v>29.087</v>
      </c>
      <c r="D17" s="6">
        <v>3.4379E-2</v>
      </c>
      <c r="E17" s="6">
        <v>-3.5322</v>
      </c>
      <c r="F17" s="6">
        <v>-3.5295000000000001</v>
      </c>
      <c r="G17" s="6">
        <v>77.947000000000003</v>
      </c>
      <c r="H17" s="6">
        <v>30.690999999999999</v>
      </c>
      <c r="I17" s="6">
        <v>56.945999999999998</v>
      </c>
      <c r="J17" s="6">
        <v>871.11</v>
      </c>
      <c r="K17" s="6">
        <v>-3.5274E-2</v>
      </c>
      <c r="L17" s="6">
        <v>173.76</v>
      </c>
      <c r="M17" s="6">
        <v>0.14871999999999999</v>
      </c>
      <c r="N17" s="6">
        <v>9.3220000000000004E-3</v>
      </c>
      <c r="O17" s="6" t="s">
        <v>17</v>
      </c>
    </row>
    <row r="18" spans="1:15" ht="17" x14ac:dyDescent="0.35">
      <c r="A18" s="9">
        <v>75.962000000000003</v>
      </c>
      <c r="B18" s="11">
        <v>0.85699000000000003</v>
      </c>
      <c r="C18" s="6">
        <v>28.998999999999999</v>
      </c>
      <c r="D18" s="6">
        <v>3.4484000000000001E-2</v>
      </c>
      <c r="E18" s="6">
        <v>-3.5009999999999999</v>
      </c>
      <c r="F18" s="6">
        <v>-3.4980000000000002</v>
      </c>
      <c r="G18" s="6">
        <v>78.36</v>
      </c>
      <c r="H18" s="6">
        <v>30.597999999999999</v>
      </c>
      <c r="I18" s="6">
        <v>57.011000000000003</v>
      </c>
      <c r="J18" s="6">
        <v>865.54</v>
      </c>
      <c r="K18" s="6">
        <v>-3.4958000000000003E-2</v>
      </c>
      <c r="L18" s="6">
        <v>169.9</v>
      </c>
      <c r="M18" s="6">
        <v>0.14762</v>
      </c>
      <c r="N18" s="6">
        <v>9.1964000000000004E-3</v>
      </c>
      <c r="O18" s="6" t="s">
        <v>17</v>
      </c>
    </row>
    <row r="19" spans="1:15" ht="17" x14ac:dyDescent="0.35">
      <c r="A19" s="9">
        <v>76.483999999999995</v>
      </c>
      <c r="B19" s="11">
        <v>0.91327999999999998</v>
      </c>
      <c r="C19" s="6">
        <v>28.914999999999999</v>
      </c>
      <c r="D19" s="6">
        <v>3.4583999999999997E-2</v>
      </c>
      <c r="E19" s="6">
        <v>-3.4712000000000001</v>
      </c>
      <c r="F19" s="6">
        <v>-3.4681000000000002</v>
      </c>
      <c r="G19" s="6">
        <v>78.75</v>
      </c>
      <c r="H19" s="6">
        <v>30.510999999999999</v>
      </c>
      <c r="I19" s="6">
        <v>57.076000000000001</v>
      </c>
      <c r="J19" s="6">
        <v>860.24</v>
      </c>
      <c r="K19" s="6">
        <v>-3.4647999999999998E-2</v>
      </c>
      <c r="L19" s="6">
        <v>166.34</v>
      </c>
      <c r="M19" s="6">
        <v>0.14657999999999999</v>
      </c>
      <c r="N19" s="6">
        <v>9.0773E-3</v>
      </c>
      <c r="O19" s="6" t="s">
        <v>17</v>
      </c>
    </row>
    <row r="20" spans="1:15" ht="17" x14ac:dyDescent="0.35">
      <c r="A20" s="9">
        <v>76.983000000000004</v>
      </c>
      <c r="B20" s="11">
        <v>0.96957000000000004</v>
      </c>
      <c r="C20" s="6">
        <v>28.835000000000001</v>
      </c>
      <c r="D20" s="6">
        <v>3.4680000000000002E-2</v>
      </c>
      <c r="E20" s="6">
        <v>-3.4428999999999998</v>
      </c>
      <c r="F20" s="6">
        <v>-3.4394999999999998</v>
      </c>
      <c r="G20" s="6">
        <v>79.12</v>
      </c>
      <c r="H20" s="6">
        <v>30.428999999999998</v>
      </c>
      <c r="I20" s="6">
        <v>57.14</v>
      </c>
      <c r="J20" s="6">
        <v>855.17</v>
      </c>
      <c r="K20" s="6">
        <v>-3.4344E-2</v>
      </c>
      <c r="L20" s="6">
        <v>163.05000000000001</v>
      </c>
      <c r="M20" s="6">
        <v>0.14559</v>
      </c>
      <c r="N20" s="6">
        <v>8.9639000000000003E-3</v>
      </c>
      <c r="O20" s="6" t="s">
        <v>17</v>
      </c>
    </row>
    <row r="21" spans="1:15" ht="17" x14ac:dyDescent="0.35">
      <c r="A21" s="9">
        <v>77.459999999999994</v>
      </c>
      <c r="B21" s="11">
        <v>1.0259</v>
      </c>
      <c r="C21" s="6">
        <v>28.757999999999999</v>
      </c>
      <c r="D21" s="6">
        <v>3.4772999999999998E-2</v>
      </c>
      <c r="E21" s="6">
        <v>-3.4157000000000002</v>
      </c>
      <c r="F21" s="6">
        <v>-3.4121000000000001</v>
      </c>
      <c r="G21" s="6">
        <v>79.472999999999999</v>
      </c>
      <c r="H21" s="6">
        <v>30.350999999999999</v>
      </c>
      <c r="I21" s="6">
        <v>57.204000000000001</v>
      </c>
      <c r="J21" s="6">
        <v>850.32</v>
      </c>
      <c r="K21" s="6">
        <v>-3.4046E-2</v>
      </c>
      <c r="L21" s="6">
        <v>160</v>
      </c>
      <c r="M21" s="6">
        <v>0.14463999999999999</v>
      </c>
      <c r="N21" s="6">
        <v>8.8558000000000005E-3</v>
      </c>
      <c r="O21" s="6" t="s">
        <v>17</v>
      </c>
    </row>
    <row r="22" spans="1:15" ht="17" x14ac:dyDescent="0.35">
      <c r="A22" s="9">
        <v>77.917000000000002</v>
      </c>
      <c r="B22" s="11">
        <v>1.0822000000000001</v>
      </c>
      <c r="C22" s="6">
        <v>28.684000000000001</v>
      </c>
      <c r="D22" s="6">
        <v>3.4862999999999998E-2</v>
      </c>
      <c r="E22" s="6">
        <v>-3.3896000000000002</v>
      </c>
      <c r="F22" s="6">
        <v>-3.3858000000000001</v>
      </c>
      <c r="G22" s="6">
        <v>79.808000000000007</v>
      </c>
      <c r="H22" s="6">
        <v>30.277000000000001</v>
      </c>
      <c r="I22" s="6">
        <v>57.267000000000003</v>
      </c>
      <c r="J22" s="6">
        <v>845.66</v>
      </c>
      <c r="K22" s="6">
        <v>-3.3751999999999997E-2</v>
      </c>
      <c r="L22" s="6">
        <v>157.15</v>
      </c>
      <c r="M22" s="6">
        <v>0.14373</v>
      </c>
      <c r="N22" s="6">
        <v>8.7524000000000005E-3</v>
      </c>
      <c r="O22" s="6" t="s">
        <v>17</v>
      </c>
    </row>
    <row r="23" spans="1:15" ht="17" x14ac:dyDescent="0.35">
      <c r="A23" s="9">
        <v>78.356999999999999</v>
      </c>
      <c r="B23" s="11">
        <v>1.1384000000000001</v>
      </c>
      <c r="C23" s="6">
        <v>28.611999999999998</v>
      </c>
      <c r="D23" s="6">
        <v>3.4951000000000003E-2</v>
      </c>
      <c r="E23" s="6">
        <v>-3.3645</v>
      </c>
      <c r="F23" s="6">
        <v>-3.3605</v>
      </c>
      <c r="G23" s="6">
        <v>80.13</v>
      </c>
      <c r="H23" s="6">
        <v>30.207000000000001</v>
      </c>
      <c r="I23" s="6">
        <v>57.329000000000001</v>
      </c>
      <c r="J23" s="6">
        <v>841.18</v>
      </c>
      <c r="K23" s="6">
        <v>-3.3464000000000001E-2</v>
      </c>
      <c r="L23" s="6">
        <v>154.47999999999999</v>
      </c>
      <c r="M23" s="6">
        <v>0.14285</v>
      </c>
      <c r="N23" s="6">
        <v>8.6531999999999998E-3</v>
      </c>
      <c r="O23" s="6" t="s">
        <v>17</v>
      </c>
    </row>
    <row r="24" spans="1:15" ht="17" x14ac:dyDescent="0.35">
      <c r="A24" s="9">
        <v>78.78</v>
      </c>
      <c r="B24" s="11">
        <v>1.1947000000000001</v>
      </c>
      <c r="C24" s="6">
        <v>28.542000000000002</v>
      </c>
      <c r="D24" s="6">
        <v>3.5035999999999998E-2</v>
      </c>
      <c r="E24" s="6">
        <v>-3.3403</v>
      </c>
      <c r="F24" s="6">
        <v>-3.3361000000000001</v>
      </c>
      <c r="G24" s="6">
        <v>80.438000000000002</v>
      </c>
      <c r="H24" s="6">
        <v>30.138999999999999</v>
      </c>
      <c r="I24" s="6">
        <v>57.392000000000003</v>
      </c>
      <c r="J24" s="6">
        <v>836.85</v>
      </c>
      <c r="K24" s="6">
        <v>-3.3179E-2</v>
      </c>
      <c r="L24" s="6">
        <v>151.97999999999999</v>
      </c>
      <c r="M24" s="6">
        <v>0.14201</v>
      </c>
      <c r="N24" s="6">
        <v>8.5578000000000008E-3</v>
      </c>
      <c r="O24" s="6" t="s">
        <v>17</v>
      </c>
    </row>
    <row r="25" spans="1:15" ht="17" x14ac:dyDescent="0.35">
      <c r="A25" s="9">
        <v>79.188999999999993</v>
      </c>
      <c r="B25" s="11">
        <v>1.2509999999999999</v>
      </c>
      <c r="C25" s="6">
        <v>28.475000000000001</v>
      </c>
      <c r="D25" s="6">
        <v>3.5118000000000003E-2</v>
      </c>
      <c r="E25" s="6">
        <v>-3.3170000000000002</v>
      </c>
      <c r="F25" s="6">
        <v>-3.3126000000000002</v>
      </c>
      <c r="G25" s="6">
        <v>80.733000000000004</v>
      </c>
      <c r="H25" s="6">
        <v>30.074999999999999</v>
      </c>
      <c r="I25" s="6">
        <v>57.454000000000001</v>
      </c>
      <c r="J25" s="6">
        <v>832.67</v>
      </c>
      <c r="K25" s="6">
        <v>-3.2897999999999997E-2</v>
      </c>
      <c r="L25" s="6">
        <v>149.63</v>
      </c>
      <c r="M25" s="6">
        <v>0.14119999999999999</v>
      </c>
      <c r="N25" s="6">
        <v>8.4661000000000007E-3</v>
      </c>
      <c r="O25" s="6" t="s">
        <v>17</v>
      </c>
    </row>
    <row r="26" spans="1:15" ht="17" x14ac:dyDescent="0.35">
      <c r="A26" s="9">
        <v>79.584000000000003</v>
      </c>
      <c r="B26" s="11">
        <v>1.3072999999999999</v>
      </c>
      <c r="C26" s="6">
        <v>28.41</v>
      </c>
      <c r="D26" s="6">
        <v>3.5199000000000001E-2</v>
      </c>
      <c r="E26" s="6">
        <v>-3.2944</v>
      </c>
      <c r="F26" s="6">
        <v>-3.2898000000000001</v>
      </c>
      <c r="G26" s="6">
        <v>81.018000000000001</v>
      </c>
      <c r="H26" s="6">
        <v>30.013000000000002</v>
      </c>
      <c r="I26" s="6">
        <v>57.515999999999998</v>
      </c>
      <c r="J26" s="6">
        <v>828.63</v>
      </c>
      <c r="K26" s="6">
        <v>-3.2620999999999997E-2</v>
      </c>
      <c r="L26" s="6">
        <v>147.4</v>
      </c>
      <c r="M26" s="6">
        <v>0.14041999999999999</v>
      </c>
      <c r="N26" s="6">
        <v>8.3774999999999995E-3</v>
      </c>
      <c r="O26" s="6" t="s">
        <v>17</v>
      </c>
    </row>
    <row r="27" spans="1:15" ht="17" x14ac:dyDescent="0.35">
      <c r="A27" s="9">
        <v>79.965999999999994</v>
      </c>
      <c r="B27" s="11">
        <v>1.3635999999999999</v>
      </c>
      <c r="C27" s="6">
        <v>28.347000000000001</v>
      </c>
      <c r="D27" s="6">
        <v>3.5277000000000003E-2</v>
      </c>
      <c r="E27" s="6">
        <v>-3.2725</v>
      </c>
      <c r="F27" s="6">
        <v>-3.2677</v>
      </c>
      <c r="G27" s="6">
        <v>81.293000000000006</v>
      </c>
      <c r="H27" s="6">
        <v>29.954000000000001</v>
      </c>
      <c r="I27" s="6">
        <v>57.576999999999998</v>
      </c>
      <c r="J27" s="6">
        <v>824.71</v>
      </c>
      <c r="K27" s="6">
        <v>-3.2346E-2</v>
      </c>
      <c r="L27" s="6">
        <v>145.30000000000001</v>
      </c>
      <c r="M27" s="6">
        <v>0.13966000000000001</v>
      </c>
      <c r="N27" s="6">
        <v>8.2921000000000002E-3</v>
      </c>
      <c r="O27" s="6" t="s">
        <v>17</v>
      </c>
    </row>
    <row r="28" spans="1:15" ht="17" x14ac:dyDescent="0.35">
      <c r="A28" s="9">
        <v>80.335999999999999</v>
      </c>
      <c r="B28" s="11">
        <v>1.4198999999999999</v>
      </c>
      <c r="C28" s="6">
        <v>28.285</v>
      </c>
      <c r="D28" s="6">
        <v>3.5353999999999997E-2</v>
      </c>
      <c r="E28" s="6">
        <v>-3.2513000000000001</v>
      </c>
      <c r="F28" s="6">
        <v>-3.2462</v>
      </c>
      <c r="G28" s="6">
        <v>81.558000000000007</v>
      </c>
      <c r="H28" s="6">
        <v>29.896999999999998</v>
      </c>
      <c r="I28" s="6">
        <v>57.637999999999998</v>
      </c>
      <c r="J28" s="6">
        <v>820.9</v>
      </c>
      <c r="K28" s="6">
        <v>-3.2074999999999999E-2</v>
      </c>
      <c r="L28" s="6">
        <v>143.30000000000001</v>
      </c>
      <c r="M28" s="6">
        <v>0.13891999999999999</v>
      </c>
      <c r="N28" s="6">
        <v>8.2094000000000004E-3</v>
      </c>
      <c r="O28" s="6" t="s">
        <v>17</v>
      </c>
    </row>
    <row r="29" spans="1:15" ht="17" x14ac:dyDescent="0.35">
      <c r="A29" s="9">
        <v>80.695999999999998</v>
      </c>
      <c r="B29" s="11">
        <v>1.4762</v>
      </c>
      <c r="C29" s="6">
        <v>28.225000000000001</v>
      </c>
      <c r="D29" s="6">
        <v>3.5429000000000002E-2</v>
      </c>
      <c r="E29" s="6">
        <v>-3.2305999999999999</v>
      </c>
      <c r="F29" s="6">
        <v>-3.2254</v>
      </c>
      <c r="G29" s="6">
        <v>81.813999999999993</v>
      </c>
      <c r="H29" s="6">
        <v>29.841999999999999</v>
      </c>
      <c r="I29" s="6">
        <v>57.698999999999998</v>
      </c>
      <c r="J29" s="6">
        <v>817.21</v>
      </c>
      <c r="K29" s="6">
        <v>-3.1806000000000001E-2</v>
      </c>
      <c r="L29" s="6">
        <v>141.4</v>
      </c>
      <c r="M29" s="6">
        <v>0.13821</v>
      </c>
      <c r="N29" s="6">
        <v>8.1293000000000008E-3</v>
      </c>
      <c r="O29" s="6" t="s">
        <v>17</v>
      </c>
    </row>
    <row r="30" spans="1:15" ht="17" x14ac:dyDescent="0.35">
      <c r="A30" s="9">
        <v>81.045000000000002</v>
      </c>
      <c r="B30" s="11">
        <v>1.5325</v>
      </c>
      <c r="C30" s="6">
        <v>28.167000000000002</v>
      </c>
      <c r="D30" s="6">
        <v>3.5501999999999999E-2</v>
      </c>
      <c r="E30" s="6">
        <v>-3.2105999999999999</v>
      </c>
      <c r="F30" s="6">
        <v>-3.2050999999999998</v>
      </c>
      <c r="G30" s="6">
        <v>82.061999999999998</v>
      </c>
      <c r="H30" s="6">
        <v>29.789000000000001</v>
      </c>
      <c r="I30" s="6">
        <v>57.76</v>
      </c>
      <c r="J30" s="6">
        <v>813.61</v>
      </c>
      <c r="K30" s="6">
        <v>-3.1539999999999999E-2</v>
      </c>
      <c r="L30" s="6">
        <v>139.59</v>
      </c>
      <c r="M30" s="6">
        <v>0.13750999999999999</v>
      </c>
      <c r="N30" s="6">
        <v>8.0516000000000008E-3</v>
      </c>
      <c r="O30" s="6" t="s">
        <v>17</v>
      </c>
    </row>
    <row r="31" spans="1:15" ht="17" x14ac:dyDescent="0.35">
      <c r="A31" s="9">
        <v>81.385000000000005</v>
      </c>
      <c r="B31" s="11">
        <v>1.5888</v>
      </c>
      <c r="C31" s="6">
        <v>28.11</v>
      </c>
      <c r="D31" s="6">
        <v>3.5574000000000001E-2</v>
      </c>
      <c r="E31" s="6">
        <v>-3.1911</v>
      </c>
      <c r="F31" s="6">
        <v>-3.1854</v>
      </c>
      <c r="G31" s="6">
        <v>82.302999999999997</v>
      </c>
      <c r="H31" s="6">
        <v>29.736999999999998</v>
      </c>
      <c r="I31" s="6">
        <v>57.820999999999998</v>
      </c>
      <c r="J31" s="6">
        <v>810.1</v>
      </c>
      <c r="K31" s="6">
        <v>-3.1275999999999998E-2</v>
      </c>
      <c r="L31" s="6">
        <v>137.86000000000001</v>
      </c>
      <c r="M31" s="6">
        <v>0.13683999999999999</v>
      </c>
      <c r="N31" s="6">
        <v>7.9761999999999993E-3</v>
      </c>
      <c r="O31" s="6" t="s">
        <v>17</v>
      </c>
    </row>
    <row r="32" spans="1:15" ht="17" x14ac:dyDescent="0.35">
      <c r="A32" s="9">
        <v>81.715000000000003</v>
      </c>
      <c r="B32" s="11">
        <v>1.6451</v>
      </c>
      <c r="C32" s="6">
        <v>28.053999999999998</v>
      </c>
      <c r="D32" s="6">
        <v>3.5645000000000003E-2</v>
      </c>
      <c r="E32" s="6">
        <v>-3.1720000000000002</v>
      </c>
      <c r="F32" s="6">
        <v>-3.1661999999999999</v>
      </c>
      <c r="G32" s="6">
        <v>82.536000000000001</v>
      </c>
      <c r="H32" s="6">
        <v>29.687999999999999</v>
      </c>
      <c r="I32" s="6">
        <v>57.881</v>
      </c>
      <c r="J32" s="6">
        <v>806.68</v>
      </c>
      <c r="K32" s="6">
        <v>-3.1014E-2</v>
      </c>
      <c r="L32" s="6">
        <v>136.21</v>
      </c>
      <c r="M32" s="6">
        <v>0.13618</v>
      </c>
      <c r="N32" s="6">
        <v>7.9028999999999992E-3</v>
      </c>
      <c r="O32" s="6" t="s">
        <v>17</v>
      </c>
    </row>
    <row r="33" spans="1:15" ht="17" x14ac:dyDescent="0.35">
      <c r="A33" s="9">
        <v>82.037999999999997</v>
      </c>
      <c r="B33" s="11">
        <v>1.7014</v>
      </c>
      <c r="C33" s="6">
        <v>28</v>
      </c>
      <c r="D33" s="6">
        <v>3.5714000000000003E-2</v>
      </c>
      <c r="E33" s="6">
        <v>-3.1535000000000002</v>
      </c>
      <c r="F33" s="6">
        <v>-3.1474000000000002</v>
      </c>
      <c r="G33" s="6">
        <v>82.763000000000005</v>
      </c>
      <c r="H33" s="6">
        <v>29.64</v>
      </c>
      <c r="I33" s="6">
        <v>57.942</v>
      </c>
      <c r="J33" s="6">
        <v>803.35</v>
      </c>
      <c r="K33" s="6">
        <v>-3.0754E-2</v>
      </c>
      <c r="L33" s="6">
        <v>134.63</v>
      </c>
      <c r="M33" s="6">
        <v>0.13553999999999999</v>
      </c>
      <c r="N33" s="6">
        <v>7.8314999999999999E-3</v>
      </c>
      <c r="O33" s="6" t="s">
        <v>17</v>
      </c>
    </row>
    <row r="34" spans="1:15" ht="17" x14ac:dyDescent="0.35">
      <c r="A34" s="9">
        <v>82.352000000000004</v>
      </c>
      <c r="B34" s="11">
        <v>1.7576000000000001</v>
      </c>
      <c r="C34" s="6">
        <v>27.946999999999999</v>
      </c>
      <c r="D34" s="6">
        <v>3.5782000000000001E-2</v>
      </c>
      <c r="E34" s="6">
        <v>-3.1354000000000002</v>
      </c>
      <c r="F34" s="6">
        <v>-3.1291000000000002</v>
      </c>
      <c r="G34" s="6">
        <v>82.983000000000004</v>
      </c>
      <c r="H34" s="6">
        <v>29.593</v>
      </c>
      <c r="I34" s="6">
        <v>58.002000000000002</v>
      </c>
      <c r="J34" s="6">
        <v>800.09</v>
      </c>
      <c r="K34" s="6">
        <v>-3.0495999999999999E-2</v>
      </c>
      <c r="L34" s="6">
        <v>133.12</v>
      </c>
      <c r="M34" s="6">
        <v>0.13492000000000001</v>
      </c>
      <c r="N34" s="6">
        <v>7.7621000000000001E-3</v>
      </c>
      <c r="O34" s="6" t="s">
        <v>17</v>
      </c>
    </row>
    <row r="35" spans="1:15" ht="17" x14ac:dyDescent="0.35">
      <c r="A35" s="9">
        <v>82.659000000000006</v>
      </c>
      <c r="B35" s="11">
        <v>1.8139000000000001</v>
      </c>
      <c r="C35" s="6">
        <v>27.895</v>
      </c>
      <c r="D35" s="6">
        <v>3.5848999999999999E-2</v>
      </c>
      <c r="E35" s="6">
        <v>-3.1177000000000001</v>
      </c>
      <c r="F35" s="6">
        <v>-3.1112000000000002</v>
      </c>
      <c r="G35" s="6">
        <v>83.197999999999993</v>
      </c>
      <c r="H35" s="6">
        <v>29.547999999999998</v>
      </c>
      <c r="I35" s="6">
        <v>58.061999999999998</v>
      </c>
      <c r="J35" s="6">
        <v>796.9</v>
      </c>
      <c r="K35" s="6">
        <v>-3.024E-2</v>
      </c>
      <c r="L35" s="6">
        <v>131.66</v>
      </c>
      <c r="M35" s="6">
        <v>0.13431000000000001</v>
      </c>
      <c r="N35" s="6">
        <v>7.6943999999999997E-3</v>
      </c>
      <c r="O35" s="6" t="s">
        <v>17</v>
      </c>
    </row>
    <row r="36" spans="1:15" ht="17" x14ac:dyDescent="0.35">
      <c r="A36" s="9">
        <v>82.959000000000003</v>
      </c>
      <c r="B36" s="11">
        <v>1.8702000000000001</v>
      </c>
      <c r="C36" s="6">
        <v>27.843</v>
      </c>
      <c r="D36" s="6">
        <v>3.5915000000000002E-2</v>
      </c>
      <c r="E36" s="6">
        <v>-3.1004</v>
      </c>
      <c r="F36" s="6">
        <v>-3.0935999999999999</v>
      </c>
      <c r="G36" s="6">
        <v>83.406999999999996</v>
      </c>
      <c r="H36" s="6">
        <v>29.504999999999999</v>
      </c>
      <c r="I36" s="6">
        <v>58.122</v>
      </c>
      <c r="J36" s="6">
        <v>793.78</v>
      </c>
      <c r="K36" s="6">
        <v>-2.9985999999999999E-2</v>
      </c>
      <c r="L36" s="6">
        <v>130.26</v>
      </c>
      <c r="M36" s="6">
        <v>0.13371</v>
      </c>
      <c r="N36" s="6">
        <v>7.6283999999999996E-3</v>
      </c>
      <c r="O36" s="6" t="s">
        <v>17</v>
      </c>
    </row>
    <row r="37" spans="1:15" ht="17" x14ac:dyDescent="0.35">
      <c r="A37" s="9">
        <v>83.251999999999995</v>
      </c>
      <c r="B37" s="11">
        <v>1.9265000000000001</v>
      </c>
      <c r="C37" s="6">
        <v>27.792999999999999</v>
      </c>
      <c r="D37" s="6">
        <v>3.5979999999999998E-2</v>
      </c>
      <c r="E37" s="6">
        <v>-3.0834000000000001</v>
      </c>
      <c r="F37" s="6">
        <v>-3.0764999999999998</v>
      </c>
      <c r="G37" s="6">
        <v>83.611000000000004</v>
      </c>
      <c r="H37" s="6">
        <v>29.462</v>
      </c>
      <c r="I37" s="6">
        <v>58.182000000000002</v>
      </c>
      <c r="J37" s="6">
        <v>790.73</v>
      </c>
      <c r="K37" s="6">
        <v>-2.9732999999999999E-2</v>
      </c>
      <c r="L37" s="6">
        <v>128.91999999999999</v>
      </c>
      <c r="M37" s="6">
        <v>0.13313</v>
      </c>
      <c r="N37" s="6">
        <v>7.5640000000000004E-3</v>
      </c>
      <c r="O37" s="6" t="s">
        <v>17</v>
      </c>
    </row>
    <row r="38" spans="1:15" ht="17" x14ac:dyDescent="0.35">
      <c r="A38" s="9">
        <v>83.539000000000001</v>
      </c>
      <c r="B38" s="11">
        <v>1.9827999999999999</v>
      </c>
      <c r="C38" s="6">
        <v>27.744</v>
      </c>
      <c r="D38" s="6">
        <v>3.6044E-2</v>
      </c>
      <c r="E38" s="6">
        <v>-3.0668000000000002</v>
      </c>
      <c r="F38" s="6">
        <v>-3.0596999999999999</v>
      </c>
      <c r="G38" s="6">
        <v>83.81</v>
      </c>
      <c r="H38" s="6">
        <v>29.420999999999999</v>
      </c>
      <c r="I38" s="6">
        <v>58.241999999999997</v>
      </c>
      <c r="J38" s="6">
        <v>787.74</v>
      </c>
      <c r="K38" s="6">
        <v>-2.9481E-2</v>
      </c>
      <c r="L38" s="6">
        <v>127.62</v>
      </c>
      <c r="M38" s="6">
        <v>0.13256000000000001</v>
      </c>
      <c r="N38" s="6">
        <v>7.5011000000000001E-3</v>
      </c>
      <c r="O38" s="6" t="s">
        <v>17</v>
      </c>
    </row>
    <row r="39" spans="1:15" ht="17" x14ac:dyDescent="0.35">
      <c r="A39" s="9">
        <v>83.82</v>
      </c>
      <c r="B39" s="11">
        <v>2.0390999999999999</v>
      </c>
      <c r="C39" s="6">
        <v>27.696000000000002</v>
      </c>
      <c r="D39" s="6">
        <v>3.6105999999999999E-2</v>
      </c>
      <c r="E39" s="6">
        <v>-3.0506000000000002</v>
      </c>
      <c r="F39" s="6">
        <v>-3.0432000000000001</v>
      </c>
      <c r="G39" s="6">
        <v>84.004000000000005</v>
      </c>
      <c r="H39" s="6">
        <v>29.381</v>
      </c>
      <c r="I39" s="6">
        <v>58.302</v>
      </c>
      <c r="J39" s="6">
        <v>784.81</v>
      </c>
      <c r="K39" s="6">
        <v>-2.9231E-2</v>
      </c>
      <c r="L39" s="6">
        <v>126.37</v>
      </c>
      <c r="M39" s="6">
        <v>0.13200000000000001</v>
      </c>
      <c r="N39" s="6">
        <v>7.4396000000000002E-3</v>
      </c>
      <c r="O39" s="6" t="s">
        <v>17</v>
      </c>
    </row>
    <row r="40" spans="1:15" ht="17" x14ac:dyDescent="0.35">
      <c r="A40" s="9">
        <v>84.094999999999999</v>
      </c>
      <c r="B40" s="11">
        <v>2.0954000000000002</v>
      </c>
      <c r="C40" s="6">
        <v>27.648</v>
      </c>
      <c r="D40" s="6">
        <v>3.6167999999999999E-2</v>
      </c>
      <c r="E40" s="6">
        <v>-3.0347</v>
      </c>
      <c r="F40" s="6">
        <v>-3.0270999999999999</v>
      </c>
      <c r="G40" s="6">
        <v>84.194000000000003</v>
      </c>
      <c r="H40" s="6">
        <v>29.341999999999999</v>
      </c>
      <c r="I40" s="6">
        <v>58.360999999999997</v>
      </c>
      <c r="J40" s="6">
        <v>781.93</v>
      </c>
      <c r="K40" s="6">
        <v>-2.8981E-2</v>
      </c>
      <c r="L40" s="6">
        <v>125.16</v>
      </c>
      <c r="M40" s="6">
        <v>0.13145999999999999</v>
      </c>
      <c r="N40" s="6">
        <v>7.3794999999999998E-3</v>
      </c>
      <c r="O40" s="6" t="s">
        <v>17</v>
      </c>
    </row>
    <row r="41" spans="1:15" ht="17" x14ac:dyDescent="0.35">
      <c r="A41" s="9">
        <v>84.364999999999995</v>
      </c>
      <c r="B41" s="11">
        <v>2.1516999999999999</v>
      </c>
      <c r="C41" s="6">
        <v>27.602</v>
      </c>
      <c r="D41" s="6">
        <v>3.6228999999999997E-2</v>
      </c>
      <c r="E41" s="6">
        <v>-3.0190000000000001</v>
      </c>
      <c r="F41" s="6">
        <v>-3.0112000000000001</v>
      </c>
      <c r="G41" s="6">
        <v>84.38</v>
      </c>
      <c r="H41" s="6">
        <v>29.303999999999998</v>
      </c>
      <c r="I41" s="6">
        <v>58.420999999999999</v>
      </c>
      <c r="J41" s="6">
        <v>779.1</v>
      </c>
      <c r="K41" s="6">
        <v>-2.8733999999999999E-2</v>
      </c>
      <c r="L41" s="6">
        <v>123.99</v>
      </c>
      <c r="M41" s="6">
        <v>0.13092000000000001</v>
      </c>
      <c r="N41" s="6">
        <v>7.3206E-3</v>
      </c>
      <c r="O41" s="6" t="s">
        <v>17</v>
      </c>
    </row>
    <row r="42" spans="1:15" ht="17" x14ac:dyDescent="0.35">
      <c r="A42" s="9">
        <v>84.63</v>
      </c>
      <c r="B42" s="11">
        <v>2.2080000000000002</v>
      </c>
      <c r="C42" s="6">
        <v>27.556000000000001</v>
      </c>
      <c r="D42" s="6">
        <v>3.6290000000000003E-2</v>
      </c>
      <c r="E42" s="6">
        <v>-3.0036999999999998</v>
      </c>
      <c r="F42" s="6">
        <v>-2.9956999999999998</v>
      </c>
      <c r="G42" s="6">
        <v>84.561999999999998</v>
      </c>
      <c r="H42" s="6">
        <v>29.266999999999999</v>
      </c>
      <c r="I42" s="6">
        <v>58.481000000000002</v>
      </c>
      <c r="J42" s="6">
        <v>776.33</v>
      </c>
      <c r="K42" s="6">
        <v>-2.8486999999999998E-2</v>
      </c>
      <c r="L42" s="6">
        <v>122.86</v>
      </c>
      <c r="M42" s="6">
        <v>0.13039999999999999</v>
      </c>
      <c r="N42" s="6">
        <v>7.2630000000000004E-3</v>
      </c>
      <c r="O42" s="6" t="s">
        <v>17</v>
      </c>
    </row>
    <row r="43" spans="1:15" ht="17" x14ac:dyDescent="0.35">
      <c r="A43" s="9">
        <v>84.888999999999996</v>
      </c>
      <c r="B43" s="11">
        <v>2.2643</v>
      </c>
      <c r="C43" s="6">
        <v>27.510999999999999</v>
      </c>
      <c r="D43" s="6">
        <v>3.6348999999999999E-2</v>
      </c>
      <c r="E43" s="6">
        <v>-2.9885999999999999</v>
      </c>
      <c r="F43" s="6">
        <v>-2.9803999999999999</v>
      </c>
      <c r="G43" s="6">
        <v>84.739000000000004</v>
      </c>
      <c r="H43" s="6">
        <v>29.23</v>
      </c>
      <c r="I43" s="6">
        <v>58.54</v>
      </c>
      <c r="J43" s="6">
        <v>773.6</v>
      </c>
      <c r="K43" s="6">
        <v>-2.8240999999999999E-2</v>
      </c>
      <c r="L43" s="6">
        <v>121.77</v>
      </c>
      <c r="M43" s="6">
        <v>0.12988</v>
      </c>
      <c r="N43" s="6">
        <v>7.2065000000000002E-3</v>
      </c>
      <c r="O43" s="6" t="s">
        <v>17</v>
      </c>
    </row>
    <row r="44" spans="1:15" ht="17" x14ac:dyDescent="0.35">
      <c r="A44" s="9">
        <v>85.144000000000005</v>
      </c>
      <c r="B44" s="11">
        <v>2.3206000000000002</v>
      </c>
      <c r="C44" s="6">
        <v>27.466000000000001</v>
      </c>
      <c r="D44" s="6">
        <v>3.6408000000000003E-2</v>
      </c>
      <c r="E44" s="6">
        <v>-2.9738000000000002</v>
      </c>
      <c r="F44" s="6">
        <v>-2.9653999999999998</v>
      </c>
      <c r="G44" s="6">
        <v>84.914000000000001</v>
      </c>
      <c r="H44" s="6">
        <v>29.195</v>
      </c>
      <c r="I44" s="6">
        <v>58.6</v>
      </c>
      <c r="J44" s="6">
        <v>770.92</v>
      </c>
      <c r="K44" s="6">
        <v>-2.7996E-2</v>
      </c>
      <c r="L44" s="6">
        <v>120.71</v>
      </c>
      <c r="M44" s="6">
        <v>0.12938</v>
      </c>
      <c r="N44" s="6">
        <v>7.1510999999999996E-3</v>
      </c>
      <c r="O44" s="6" t="s">
        <v>17</v>
      </c>
    </row>
    <row r="45" spans="1:15" ht="17" x14ac:dyDescent="0.35">
      <c r="A45" s="9">
        <v>85.394000000000005</v>
      </c>
      <c r="B45" s="11">
        <v>2.3769</v>
      </c>
      <c r="C45" s="6">
        <v>27.422999999999998</v>
      </c>
      <c r="D45" s="6">
        <v>3.6465999999999998E-2</v>
      </c>
      <c r="E45" s="6">
        <v>-2.9592999999999998</v>
      </c>
      <c r="F45" s="6">
        <v>-2.9506000000000001</v>
      </c>
      <c r="G45" s="6">
        <v>85.084000000000003</v>
      </c>
      <c r="H45" s="6">
        <v>29.161000000000001</v>
      </c>
      <c r="I45" s="6">
        <v>58.66</v>
      </c>
      <c r="J45" s="6">
        <v>768.29</v>
      </c>
      <c r="K45" s="6">
        <v>-2.7751999999999999E-2</v>
      </c>
      <c r="L45" s="6">
        <v>119.68</v>
      </c>
      <c r="M45" s="6">
        <v>0.12889</v>
      </c>
      <c r="N45" s="6">
        <v>7.0968999999999997E-3</v>
      </c>
      <c r="O45" s="6" t="s">
        <v>17</v>
      </c>
    </row>
    <row r="46" spans="1:15" ht="17" x14ac:dyDescent="0.35">
      <c r="A46" s="9">
        <v>85.64</v>
      </c>
      <c r="B46" s="11">
        <v>2.4331</v>
      </c>
      <c r="C46" s="6">
        <v>27.38</v>
      </c>
      <c r="D46" s="6">
        <v>3.6523E-2</v>
      </c>
      <c r="E46" s="6">
        <v>-2.9449999999999998</v>
      </c>
      <c r="F46" s="6">
        <v>-2.9361000000000002</v>
      </c>
      <c r="G46" s="6">
        <v>85.251999999999995</v>
      </c>
      <c r="H46" s="6">
        <v>29.126999999999999</v>
      </c>
      <c r="I46" s="6">
        <v>58.719000000000001</v>
      </c>
      <c r="J46" s="6">
        <v>765.7</v>
      </c>
      <c r="K46" s="6">
        <v>-2.7508999999999999E-2</v>
      </c>
      <c r="L46" s="6">
        <v>118.68</v>
      </c>
      <c r="M46" s="6">
        <v>0.12839999999999999</v>
      </c>
      <c r="N46" s="6">
        <v>7.0435999999999997E-3</v>
      </c>
      <c r="O46" s="6" t="s">
        <v>17</v>
      </c>
    </row>
    <row r="47" spans="1:15" ht="17" x14ac:dyDescent="0.35">
      <c r="A47" s="9">
        <v>85.882000000000005</v>
      </c>
      <c r="B47" s="11">
        <v>2.4893999999999998</v>
      </c>
      <c r="C47" s="6">
        <v>27.337</v>
      </c>
      <c r="D47" s="6">
        <v>3.6580000000000001E-2</v>
      </c>
      <c r="E47" s="6">
        <v>-2.9308999999999998</v>
      </c>
      <c r="F47" s="6">
        <v>-2.9218000000000002</v>
      </c>
      <c r="G47" s="6">
        <v>85.415999999999997</v>
      </c>
      <c r="H47" s="6">
        <v>29.094000000000001</v>
      </c>
      <c r="I47" s="6">
        <v>58.779000000000003</v>
      </c>
      <c r="J47" s="6">
        <v>763.14</v>
      </c>
      <c r="K47" s="6">
        <v>-2.7265999999999999E-2</v>
      </c>
      <c r="L47" s="6">
        <v>117.72</v>
      </c>
      <c r="M47" s="6">
        <v>0.12792000000000001</v>
      </c>
      <c r="N47" s="6">
        <v>6.9914E-3</v>
      </c>
      <c r="O47" s="6" t="s">
        <v>17</v>
      </c>
    </row>
    <row r="48" spans="1:15" ht="17" x14ac:dyDescent="0.35">
      <c r="A48" s="9">
        <v>86.119</v>
      </c>
      <c r="B48" s="11">
        <v>2.5457000000000001</v>
      </c>
      <c r="C48" s="6">
        <v>27.295000000000002</v>
      </c>
      <c r="D48" s="6">
        <v>3.6636000000000002E-2</v>
      </c>
      <c r="E48" s="6">
        <v>-2.9171</v>
      </c>
      <c r="F48" s="6">
        <v>-2.9077999999999999</v>
      </c>
      <c r="G48" s="6">
        <v>85.576999999999998</v>
      </c>
      <c r="H48" s="6">
        <v>29.062000000000001</v>
      </c>
      <c r="I48" s="6">
        <v>58.838000000000001</v>
      </c>
      <c r="J48" s="6">
        <v>760.63</v>
      </c>
      <c r="K48" s="6">
        <v>-2.7025E-2</v>
      </c>
      <c r="L48" s="6">
        <v>116.78</v>
      </c>
      <c r="M48" s="6">
        <v>0.12745999999999999</v>
      </c>
      <c r="N48" s="6">
        <v>6.9401000000000003E-3</v>
      </c>
      <c r="O48" s="6" t="s">
        <v>17</v>
      </c>
    </row>
    <row r="49" spans="1:15" ht="17" x14ac:dyDescent="0.35">
      <c r="A49" s="9">
        <v>86.352999999999994</v>
      </c>
      <c r="B49" s="11">
        <v>2.6019999999999999</v>
      </c>
      <c r="C49" s="6">
        <v>27.254000000000001</v>
      </c>
      <c r="D49" s="6">
        <v>3.6692000000000002E-2</v>
      </c>
      <c r="E49" s="6">
        <v>-2.9035000000000002</v>
      </c>
      <c r="F49" s="6">
        <v>-2.8938999999999999</v>
      </c>
      <c r="G49" s="6">
        <v>85.734999999999999</v>
      </c>
      <c r="H49" s="6">
        <v>29.03</v>
      </c>
      <c r="I49" s="6">
        <v>58.898000000000003</v>
      </c>
      <c r="J49" s="6">
        <v>758.15</v>
      </c>
      <c r="K49" s="6">
        <v>-2.6783999999999999E-2</v>
      </c>
      <c r="L49" s="6">
        <v>115.86</v>
      </c>
      <c r="M49" s="6">
        <v>0.12698999999999999</v>
      </c>
      <c r="N49" s="6">
        <v>6.8896000000000001E-3</v>
      </c>
      <c r="O49" s="6" t="s">
        <v>17</v>
      </c>
    </row>
    <row r="50" spans="1:15" ht="17" x14ac:dyDescent="0.35">
      <c r="A50" s="9">
        <v>86.582999999999998</v>
      </c>
      <c r="B50" s="11">
        <v>2.6583000000000001</v>
      </c>
      <c r="C50" s="6">
        <v>27.213000000000001</v>
      </c>
      <c r="D50" s="6">
        <v>3.6747000000000002E-2</v>
      </c>
      <c r="E50" s="6">
        <v>-2.89</v>
      </c>
      <c r="F50" s="6">
        <v>-2.8803000000000001</v>
      </c>
      <c r="G50" s="6">
        <v>85.891000000000005</v>
      </c>
      <c r="H50" s="6">
        <v>29</v>
      </c>
      <c r="I50" s="6">
        <v>58.957999999999998</v>
      </c>
      <c r="J50" s="6">
        <v>755.71</v>
      </c>
      <c r="K50" s="6">
        <v>-2.6543000000000001E-2</v>
      </c>
      <c r="L50" s="6">
        <v>114.97</v>
      </c>
      <c r="M50" s="6">
        <v>0.12654000000000001</v>
      </c>
      <c r="N50" s="6">
        <v>6.8401E-3</v>
      </c>
      <c r="O50" s="6" t="s">
        <v>17</v>
      </c>
    </row>
    <row r="51" spans="1:15" ht="17" x14ac:dyDescent="0.35">
      <c r="A51" s="9">
        <v>86.81</v>
      </c>
      <c r="B51" s="11">
        <v>2.7145999999999999</v>
      </c>
      <c r="C51" s="6">
        <v>27.172999999999998</v>
      </c>
      <c r="D51" s="6">
        <v>3.6801E-2</v>
      </c>
      <c r="E51" s="6">
        <v>-2.8767999999999998</v>
      </c>
      <c r="F51" s="6">
        <v>-2.8668</v>
      </c>
      <c r="G51" s="6">
        <v>86.043999999999997</v>
      </c>
      <c r="H51" s="6">
        <v>28.969000000000001</v>
      </c>
      <c r="I51" s="6">
        <v>59.018000000000001</v>
      </c>
      <c r="J51" s="6">
        <v>753.3</v>
      </c>
      <c r="K51" s="6">
        <v>-2.6303E-2</v>
      </c>
      <c r="L51" s="6">
        <v>114.1</v>
      </c>
      <c r="M51" s="6">
        <v>0.12609000000000001</v>
      </c>
      <c r="N51" s="6">
        <v>6.7914000000000004E-3</v>
      </c>
      <c r="O51" s="6" t="s">
        <v>17</v>
      </c>
    </row>
    <row r="52" spans="1:15" ht="17" x14ac:dyDescent="0.35">
      <c r="A52" s="9">
        <v>87.033000000000001</v>
      </c>
      <c r="B52" s="11">
        <v>2.7709000000000001</v>
      </c>
      <c r="C52" s="6">
        <v>27.132999999999999</v>
      </c>
      <c r="D52" s="6">
        <v>3.6854999999999999E-2</v>
      </c>
      <c r="E52" s="6">
        <v>-2.8637999999999999</v>
      </c>
      <c r="F52" s="6">
        <v>-2.8536000000000001</v>
      </c>
      <c r="G52" s="6">
        <v>86.194000000000003</v>
      </c>
      <c r="H52" s="6">
        <v>28.94</v>
      </c>
      <c r="I52" s="6">
        <v>59.076999999999998</v>
      </c>
      <c r="J52" s="6">
        <v>750.93</v>
      </c>
      <c r="K52" s="6">
        <v>-2.6064E-2</v>
      </c>
      <c r="L52" s="6">
        <v>113.26</v>
      </c>
      <c r="M52" s="6">
        <v>0.12565000000000001</v>
      </c>
      <c r="N52" s="6">
        <v>6.7435000000000004E-3</v>
      </c>
      <c r="O52" s="6" t="s">
        <v>17</v>
      </c>
    </row>
    <row r="53" spans="1:15" ht="17" x14ac:dyDescent="0.35">
      <c r="A53" s="9">
        <v>87.251999999999995</v>
      </c>
      <c r="B53" s="11">
        <v>2.8271999999999999</v>
      </c>
      <c r="C53" s="6">
        <v>27.094000000000001</v>
      </c>
      <c r="D53" s="6">
        <v>3.6908000000000003E-2</v>
      </c>
      <c r="E53" s="6">
        <v>-2.8509000000000002</v>
      </c>
      <c r="F53" s="6">
        <v>-2.8405</v>
      </c>
      <c r="G53" s="6">
        <v>86.340999999999994</v>
      </c>
      <c r="H53" s="6">
        <v>28.911000000000001</v>
      </c>
      <c r="I53" s="6">
        <v>59.137</v>
      </c>
      <c r="J53" s="6">
        <v>748.59</v>
      </c>
      <c r="K53" s="6">
        <v>-2.5826000000000002E-2</v>
      </c>
      <c r="L53" s="6">
        <v>112.43</v>
      </c>
      <c r="M53" s="6">
        <v>0.12522</v>
      </c>
      <c r="N53" s="6">
        <v>6.6963999999999999E-3</v>
      </c>
      <c r="O53" s="6" t="s">
        <v>17</v>
      </c>
    </row>
    <row r="54" spans="1:15" ht="17" x14ac:dyDescent="0.35">
      <c r="A54" s="9">
        <v>87.468999999999994</v>
      </c>
      <c r="B54" s="11">
        <v>2.8835000000000002</v>
      </c>
      <c r="C54" s="6">
        <v>27.055</v>
      </c>
      <c r="D54" s="6">
        <v>3.6961000000000001E-2</v>
      </c>
      <c r="E54" s="6">
        <v>-2.8382000000000001</v>
      </c>
      <c r="F54" s="6">
        <v>-2.8275999999999999</v>
      </c>
      <c r="G54" s="6">
        <v>86.486000000000004</v>
      </c>
      <c r="H54" s="6">
        <v>28.882999999999999</v>
      </c>
      <c r="I54" s="6">
        <v>59.197000000000003</v>
      </c>
      <c r="J54" s="6">
        <v>746.28</v>
      </c>
      <c r="K54" s="6">
        <v>-2.5586999999999999E-2</v>
      </c>
      <c r="L54" s="6">
        <v>111.63</v>
      </c>
      <c r="M54" s="6">
        <v>0.12479</v>
      </c>
      <c r="N54" s="6">
        <v>6.6499999999999997E-3</v>
      </c>
      <c r="O54" s="6" t="s">
        <v>17</v>
      </c>
    </row>
    <row r="55" spans="1:15" ht="17" x14ac:dyDescent="0.35">
      <c r="A55" s="9">
        <v>87.682000000000002</v>
      </c>
      <c r="B55" s="11">
        <v>2.9398</v>
      </c>
      <c r="C55" s="6">
        <v>27.016999999999999</v>
      </c>
      <c r="D55" s="6">
        <v>3.7012999999999997E-2</v>
      </c>
      <c r="E55" s="6">
        <v>-2.8256999999999999</v>
      </c>
      <c r="F55" s="6">
        <v>-2.8149000000000002</v>
      </c>
      <c r="G55" s="6">
        <v>86.629000000000005</v>
      </c>
      <c r="H55" s="6">
        <v>28.855</v>
      </c>
      <c r="I55" s="6">
        <v>59.256999999999998</v>
      </c>
      <c r="J55" s="6">
        <v>744</v>
      </c>
      <c r="K55" s="6">
        <v>-2.5349E-2</v>
      </c>
      <c r="L55" s="6">
        <v>110.85</v>
      </c>
      <c r="M55" s="6">
        <v>0.12436999999999999</v>
      </c>
      <c r="N55" s="6">
        <v>6.6043999999999999E-3</v>
      </c>
      <c r="O55" s="6" t="s">
        <v>17</v>
      </c>
    </row>
    <row r="56" spans="1:15" ht="17" x14ac:dyDescent="0.35">
      <c r="A56" s="9">
        <v>87.893000000000001</v>
      </c>
      <c r="B56" s="11">
        <v>2.9961000000000002</v>
      </c>
      <c r="C56" s="6">
        <v>26.978999999999999</v>
      </c>
      <c r="D56" s="6">
        <v>3.7065000000000001E-2</v>
      </c>
      <c r="E56" s="6">
        <v>-2.8134000000000001</v>
      </c>
      <c r="F56" s="6">
        <v>-2.8022999999999998</v>
      </c>
      <c r="G56" s="6">
        <v>86.77</v>
      </c>
      <c r="H56" s="6">
        <v>28.827999999999999</v>
      </c>
      <c r="I56" s="6">
        <v>59.317</v>
      </c>
      <c r="J56" s="6">
        <v>741.75</v>
      </c>
      <c r="K56" s="6">
        <v>-2.5111999999999999E-2</v>
      </c>
      <c r="L56" s="6">
        <v>110.08</v>
      </c>
      <c r="M56" s="6">
        <v>0.12396</v>
      </c>
      <c r="N56" s="6">
        <v>6.5595000000000002E-3</v>
      </c>
      <c r="O56" s="6" t="s">
        <v>17</v>
      </c>
    </row>
    <row r="57" spans="1:15" ht="17" x14ac:dyDescent="0.35">
      <c r="A57" s="9">
        <v>88.1</v>
      </c>
      <c r="B57" s="11">
        <v>3.0522999999999998</v>
      </c>
      <c r="C57" s="6">
        <v>26.942</v>
      </c>
      <c r="D57" s="6">
        <v>3.7116999999999997E-2</v>
      </c>
      <c r="E57" s="6">
        <v>-2.8012000000000001</v>
      </c>
      <c r="F57" s="6">
        <v>-2.7898999999999998</v>
      </c>
      <c r="G57" s="6">
        <v>86.909000000000006</v>
      </c>
      <c r="H57" s="6">
        <v>28.800999999999998</v>
      </c>
      <c r="I57" s="6">
        <v>59.377000000000002</v>
      </c>
      <c r="J57" s="6">
        <v>739.52</v>
      </c>
      <c r="K57" s="6">
        <v>-2.4875000000000001E-2</v>
      </c>
      <c r="L57" s="6">
        <v>109.34</v>
      </c>
      <c r="M57" s="6">
        <v>0.12354999999999999</v>
      </c>
      <c r="N57" s="6">
        <v>6.5151999999999996E-3</v>
      </c>
      <c r="O57" s="6" t="s">
        <v>17</v>
      </c>
    </row>
    <row r="58" spans="1:15" ht="17" x14ac:dyDescent="0.35">
      <c r="A58" s="9">
        <v>88.305000000000007</v>
      </c>
      <c r="B58" s="11">
        <v>3.1086</v>
      </c>
      <c r="C58" s="6">
        <v>26.905000000000001</v>
      </c>
      <c r="D58" s="6">
        <v>3.7168E-2</v>
      </c>
      <c r="E58" s="6">
        <v>-2.7892000000000001</v>
      </c>
      <c r="F58" s="6">
        <v>-2.7776999999999998</v>
      </c>
      <c r="G58" s="6">
        <v>87.045000000000002</v>
      </c>
      <c r="H58" s="6">
        <v>28.774999999999999</v>
      </c>
      <c r="I58" s="6">
        <v>59.436999999999998</v>
      </c>
      <c r="J58" s="6">
        <v>737.33</v>
      </c>
      <c r="K58" s="6">
        <v>-2.4638E-2</v>
      </c>
      <c r="L58" s="6">
        <v>108.61</v>
      </c>
      <c r="M58" s="6">
        <v>0.12315</v>
      </c>
      <c r="N58" s="6">
        <v>6.4716000000000001E-3</v>
      </c>
      <c r="O58" s="6" t="s">
        <v>17</v>
      </c>
    </row>
    <row r="59" spans="1:15" ht="17" x14ac:dyDescent="0.35">
      <c r="A59" s="9">
        <v>88.507000000000005</v>
      </c>
      <c r="B59" s="11">
        <v>3.1648999999999998</v>
      </c>
      <c r="C59" s="6">
        <v>26.867999999999999</v>
      </c>
      <c r="D59" s="6">
        <v>3.7218000000000001E-2</v>
      </c>
      <c r="E59" s="6">
        <v>-2.7772999999999999</v>
      </c>
      <c r="F59" s="6">
        <v>-2.7656000000000001</v>
      </c>
      <c r="G59" s="6">
        <v>87.18</v>
      </c>
      <c r="H59" s="6">
        <v>28.748999999999999</v>
      </c>
      <c r="I59" s="6">
        <v>59.497</v>
      </c>
      <c r="J59" s="6">
        <v>735.15</v>
      </c>
      <c r="K59" s="6">
        <v>-2.4402E-2</v>
      </c>
      <c r="L59" s="6">
        <v>107.89</v>
      </c>
      <c r="M59" s="6">
        <v>0.12275</v>
      </c>
      <c r="N59" s="6">
        <v>6.4286999999999999E-3</v>
      </c>
      <c r="O59" s="6" t="s">
        <v>17</v>
      </c>
    </row>
    <row r="60" spans="1:15" ht="17" x14ac:dyDescent="0.35">
      <c r="A60" s="9">
        <v>88.706000000000003</v>
      </c>
      <c r="B60" s="11">
        <v>3.2212000000000001</v>
      </c>
      <c r="C60" s="6">
        <v>26.832000000000001</v>
      </c>
      <c r="D60" s="6">
        <v>3.7268999999999997E-2</v>
      </c>
      <c r="E60" s="6">
        <v>-2.7656000000000001</v>
      </c>
      <c r="F60" s="6">
        <v>-2.7536</v>
      </c>
      <c r="G60" s="6">
        <v>87.311999999999998</v>
      </c>
      <c r="H60" s="6">
        <v>28.724</v>
      </c>
      <c r="I60" s="6">
        <v>59.557000000000002</v>
      </c>
      <c r="J60" s="6">
        <v>733.01</v>
      </c>
      <c r="K60" s="6">
        <v>-2.4166E-2</v>
      </c>
      <c r="L60" s="6">
        <v>107.19</v>
      </c>
      <c r="M60" s="6">
        <v>0.12235</v>
      </c>
      <c r="N60" s="6">
        <v>6.3863000000000001E-3</v>
      </c>
      <c r="O60" s="6" t="s">
        <v>17</v>
      </c>
    </row>
    <row r="61" spans="1:15" ht="17" x14ac:dyDescent="0.35">
      <c r="A61" s="9">
        <v>88.903000000000006</v>
      </c>
      <c r="B61" s="11">
        <v>3.2774999999999999</v>
      </c>
      <c r="C61" s="6">
        <v>26.795999999999999</v>
      </c>
      <c r="D61" s="6">
        <v>3.7317999999999997E-2</v>
      </c>
      <c r="E61" s="6">
        <v>-2.754</v>
      </c>
      <c r="F61" s="6">
        <v>-2.7418</v>
      </c>
      <c r="G61" s="6">
        <v>87.442999999999998</v>
      </c>
      <c r="H61" s="6">
        <v>28.699000000000002</v>
      </c>
      <c r="I61" s="6">
        <v>59.616999999999997</v>
      </c>
      <c r="J61" s="6">
        <v>730.89</v>
      </c>
      <c r="K61" s="6">
        <v>-2.393E-2</v>
      </c>
      <c r="L61" s="6">
        <v>106.51</v>
      </c>
      <c r="M61" s="6">
        <v>0.12197</v>
      </c>
      <c r="N61" s="6">
        <v>6.3445999999999997E-3</v>
      </c>
      <c r="O61" s="6" t="s">
        <v>17</v>
      </c>
    </row>
    <row r="62" spans="1:15" ht="17" x14ac:dyDescent="0.35">
      <c r="A62" s="9">
        <v>89.096999999999994</v>
      </c>
      <c r="B62" s="11">
        <v>3.3338000000000001</v>
      </c>
      <c r="C62" s="6">
        <v>26.760999999999999</v>
      </c>
      <c r="D62" s="6">
        <v>3.7367999999999998E-2</v>
      </c>
      <c r="E62" s="6">
        <v>-2.7425999999999999</v>
      </c>
      <c r="F62" s="6">
        <v>-2.7301000000000002</v>
      </c>
      <c r="G62" s="6">
        <v>87.570999999999998</v>
      </c>
      <c r="H62" s="6">
        <v>28.675000000000001</v>
      </c>
      <c r="I62" s="6">
        <v>59.677999999999997</v>
      </c>
      <c r="J62" s="6">
        <v>728.79</v>
      </c>
      <c r="K62" s="6">
        <v>-2.3695000000000001E-2</v>
      </c>
      <c r="L62" s="6">
        <v>105.84</v>
      </c>
      <c r="M62" s="6">
        <v>0.12157999999999999</v>
      </c>
      <c r="N62" s="6">
        <v>6.3033999999999998E-3</v>
      </c>
      <c r="O62" s="6" t="s">
        <v>17</v>
      </c>
    </row>
    <row r="63" spans="1:15" ht="17" x14ac:dyDescent="0.35">
      <c r="A63" s="9">
        <v>89.289000000000001</v>
      </c>
      <c r="B63" s="11">
        <v>3.3900999999999999</v>
      </c>
      <c r="C63" s="6">
        <v>26.725999999999999</v>
      </c>
      <c r="D63" s="6">
        <v>3.7416999999999999E-2</v>
      </c>
      <c r="E63" s="6">
        <v>-2.7313000000000001</v>
      </c>
      <c r="F63" s="6">
        <v>-2.7185999999999999</v>
      </c>
      <c r="G63" s="6">
        <v>87.697999999999993</v>
      </c>
      <c r="H63" s="6">
        <v>28.651</v>
      </c>
      <c r="I63" s="6">
        <v>59.738</v>
      </c>
      <c r="J63" s="6">
        <v>726.72</v>
      </c>
      <c r="K63" s="6">
        <v>-2.3459000000000001E-2</v>
      </c>
      <c r="L63" s="6">
        <v>105.19</v>
      </c>
      <c r="M63" s="6">
        <v>0.1212</v>
      </c>
      <c r="N63" s="6">
        <v>6.2627999999999998E-3</v>
      </c>
      <c r="O63" s="6" t="s">
        <v>17</v>
      </c>
    </row>
    <row r="64" spans="1:15" ht="17" x14ac:dyDescent="0.35">
      <c r="A64" s="9">
        <v>89.478999999999999</v>
      </c>
      <c r="B64" s="11">
        <v>3.4464000000000001</v>
      </c>
      <c r="C64" s="6">
        <v>26.690999999999999</v>
      </c>
      <c r="D64" s="6">
        <v>3.7465999999999999E-2</v>
      </c>
      <c r="E64" s="6">
        <v>-2.7201</v>
      </c>
      <c r="F64" s="6">
        <v>-2.7071999999999998</v>
      </c>
      <c r="G64" s="6">
        <v>87.823999999999998</v>
      </c>
      <c r="H64" s="6">
        <v>28.626999999999999</v>
      </c>
      <c r="I64" s="6">
        <v>59.798999999999999</v>
      </c>
      <c r="J64" s="6">
        <v>724.66</v>
      </c>
      <c r="K64" s="6">
        <v>-2.3224000000000002E-2</v>
      </c>
      <c r="L64" s="6">
        <v>104.55</v>
      </c>
      <c r="M64" s="6">
        <v>0.12083000000000001</v>
      </c>
      <c r="N64" s="6">
        <v>6.2227000000000003E-3</v>
      </c>
      <c r="O64" s="6" t="s">
        <v>17</v>
      </c>
    </row>
    <row r="65" spans="1:15" ht="17" x14ac:dyDescent="0.35">
      <c r="A65" s="9">
        <v>89.665999999999997</v>
      </c>
      <c r="B65" s="11">
        <v>3.5026999999999999</v>
      </c>
      <c r="C65" s="6">
        <v>26.657</v>
      </c>
      <c r="D65" s="6">
        <v>3.7513999999999999E-2</v>
      </c>
      <c r="E65" s="6">
        <v>-2.7090000000000001</v>
      </c>
      <c r="F65" s="6">
        <v>-2.6959</v>
      </c>
      <c r="G65" s="6">
        <v>87.947000000000003</v>
      </c>
      <c r="H65" s="6">
        <v>28.603999999999999</v>
      </c>
      <c r="I65" s="6">
        <v>59.859000000000002</v>
      </c>
      <c r="J65" s="6">
        <v>722.63</v>
      </c>
      <c r="K65" s="6">
        <v>-2.2988999999999999E-2</v>
      </c>
      <c r="L65" s="6">
        <v>103.92</v>
      </c>
      <c r="M65" s="6">
        <v>0.12046</v>
      </c>
      <c r="N65" s="6">
        <v>6.1831000000000004E-3</v>
      </c>
      <c r="O65" s="6" t="s">
        <v>17</v>
      </c>
    </row>
    <row r="66" spans="1:15" ht="17" x14ac:dyDescent="0.35">
      <c r="A66" s="9">
        <v>89.852000000000004</v>
      </c>
      <c r="B66" s="11">
        <v>3.5590000000000002</v>
      </c>
      <c r="C66" s="6">
        <v>26.623000000000001</v>
      </c>
      <c r="D66" s="6">
        <v>3.7561999999999998E-2</v>
      </c>
      <c r="E66" s="6">
        <v>-2.6981000000000002</v>
      </c>
      <c r="F66" s="6">
        <v>-2.6846999999999999</v>
      </c>
      <c r="G66" s="6">
        <v>88.069000000000003</v>
      </c>
      <c r="H66" s="6">
        <v>28.582000000000001</v>
      </c>
      <c r="I66" s="6">
        <v>59.92</v>
      </c>
      <c r="J66" s="6">
        <v>720.62</v>
      </c>
      <c r="K66" s="6">
        <v>-2.2754E-2</v>
      </c>
      <c r="L66" s="6">
        <v>103.31</v>
      </c>
      <c r="M66" s="6">
        <v>0.1201</v>
      </c>
      <c r="N66" s="6">
        <v>6.1441000000000004E-3</v>
      </c>
      <c r="O66" s="6" t="s">
        <v>17</v>
      </c>
    </row>
    <row r="67" spans="1:15" ht="17" x14ac:dyDescent="0.35">
      <c r="A67" s="9">
        <v>90.034999999999997</v>
      </c>
      <c r="B67" s="11">
        <v>3.6153</v>
      </c>
      <c r="C67" s="6">
        <v>26.588999999999999</v>
      </c>
      <c r="D67" s="6">
        <v>3.7609999999999998E-2</v>
      </c>
      <c r="E67" s="6">
        <v>-2.6873</v>
      </c>
      <c r="F67" s="6">
        <v>-2.6737000000000002</v>
      </c>
      <c r="G67" s="6">
        <v>88.19</v>
      </c>
      <c r="H67" s="6">
        <v>28.559000000000001</v>
      </c>
      <c r="I67" s="6">
        <v>59.981000000000002</v>
      </c>
      <c r="J67" s="6">
        <v>718.63</v>
      </c>
      <c r="K67" s="6">
        <v>-2.2519000000000001E-2</v>
      </c>
      <c r="L67" s="6">
        <v>102.7</v>
      </c>
      <c r="M67" s="6">
        <v>0.11974</v>
      </c>
      <c r="N67" s="6">
        <v>6.1056000000000001E-3</v>
      </c>
      <c r="O67" s="6" t="s">
        <v>17</v>
      </c>
    </row>
    <row r="68" spans="1:15" ht="17" x14ac:dyDescent="0.35">
      <c r="A68" s="9">
        <v>90.215999999999994</v>
      </c>
      <c r="B68" s="11">
        <v>3.6716000000000002</v>
      </c>
      <c r="C68" s="6">
        <v>26.555</v>
      </c>
      <c r="D68" s="6">
        <v>3.7657000000000003E-2</v>
      </c>
      <c r="E68" s="6">
        <v>-2.6766000000000001</v>
      </c>
      <c r="F68" s="6">
        <v>-2.6627000000000001</v>
      </c>
      <c r="G68" s="6">
        <v>88.308999999999997</v>
      </c>
      <c r="H68" s="6">
        <v>28.536999999999999</v>
      </c>
      <c r="I68" s="6">
        <v>60.042000000000002</v>
      </c>
      <c r="J68" s="6">
        <v>716.66</v>
      </c>
      <c r="K68" s="6">
        <v>-2.2284999999999999E-2</v>
      </c>
      <c r="L68" s="6">
        <v>102.11</v>
      </c>
      <c r="M68" s="6">
        <v>0.11938</v>
      </c>
      <c r="N68" s="6">
        <v>6.0675E-3</v>
      </c>
      <c r="O68" s="6" t="s">
        <v>17</v>
      </c>
    </row>
    <row r="69" spans="1:15" ht="17" x14ac:dyDescent="0.35">
      <c r="A69" s="9">
        <v>90.394000000000005</v>
      </c>
      <c r="B69" s="11">
        <v>3.7277999999999998</v>
      </c>
      <c r="C69" s="6">
        <v>26.521999999999998</v>
      </c>
      <c r="D69" s="6">
        <v>3.7704000000000001E-2</v>
      </c>
      <c r="E69" s="6">
        <v>-2.6659999999999999</v>
      </c>
      <c r="F69" s="6">
        <v>-2.6518999999999999</v>
      </c>
      <c r="G69" s="6">
        <v>88.426000000000002</v>
      </c>
      <c r="H69" s="6">
        <v>28.515999999999998</v>
      </c>
      <c r="I69" s="6">
        <v>60.103000000000002</v>
      </c>
      <c r="J69" s="6">
        <v>714.71</v>
      </c>
      <c r="K69" s="6">
        <v>-2.205E-2</v>
      </c>
      <c r="L69" s="6">
        <v>101.53</v>
      </c>
      <c r="M69" s="6">
        <v>0.11903</v>
      </c>
      <c r="N69" s="6">
        <v>6.0299999999999998E-3</v>
      </c>
      <c r="O69" s="6" t="s">
        <v>17</v>
      </c>
    </row>
    <row r="70" spans="1:15" ht="17" x14ac:dyDescent="0.35">
      <c r="A70" s="9">
        <v>90.570999999999998</v>
      </c>
      <c r="B70" s="11">
        <v>3.7841</v>
      </c>
      <c r="C70" s="6">
        <v>26.489000000000001</v>
      </c>
      <c r="D70" s="6">
        <v>3.7751E-2</v>
      </c>
      <c r="E70" s="6">
        <v>-2.6555</v>
      </c>
      <c r="F70" s="6">
        <v>-2.6412</v>
      </c>
      <c r="G70" s="6">
        <v>88.543000000000006</v>
      </c>
      <c r="H70" s="6">
        <v>28.495000000000001</v>
      </c>
      <c r="I70" s="6">
        <v>60.164000000000001</v>
      </c>
      <c r="J70" s="6">
        <v>712.78</v>
      </c>
      <c r="K70" s="6">
        <v>-2.1815999999999999E-2</v>
      </c>
      <c r="L70" s="6">
        <v>100.96</v>
      </c>
      <c r="M70" s="6">
        <v>0.11867999999999999</v>
      </c>
      <c r="N70" s="6">
        <v>5.9928000000000004E-3</v>
      </c>
      <c r="O70" s="6" t="s">
        <v>17</v>
      </c>
    </row>
    <row r="71" spans="1:15" ht="17" x14ac:dyDescent="0.35">
      <c r="A71" s="9">
        <v>90.745999999999995</v>
      </c>
      <c r="B71" s="11">
        <v>3.8403999999999998</v>
      </c>
      <c r="C71" s="6">
        <v>26.457000000000001</v>
      </c>
      <c r="D71" s="6">
        <v>3.7797999999999998E-2</v>
      </c>
      <c r="E71" s="6">
        <v>-2.6450999999999998</v>
      </c>
      <c r="F71" s="6">
        <v>-2.6305999999999998</v>
      </c>
      <c r="G71" s="6">
        <v>88.656999999999996</v>
      </c>
      <c r="H71" s="6">
        <v>28.474</v>
      </c>
      <c r="I71" s="6">
        <v>60.225000000000001</v>
      </c>
      <c r="J71" s="6">
        <v>710.87</v>
      </c>
      <c r="K71" s="6">
        <v>-2.1580999999999999E-2</v>
      </c>
      <c r="L71" s="6">
        <v>100.4</v>
      </c>
      <c r="M71" s="6">
        <v>0.11833</v>
      </c>
      <c r="N71" s="6">
        <v>5.9562E-3</v>
      </c>
      <c r="O71" s="6" t="s">
        <v>17</v>
      </c>
    </row>
    <row r="72" spans="1:15" ht="17" x14ac:dyDescent="0.35">
      <c r="A72" s="9">
        <v>90.92</v>
      </c>
      <c r="B72" s="11">
        <v>3.8967000000000001</v>
      </c>
      <c r="C72" s="6">
        <v>26.423999999999999</v>
      </c>
      <c r="D72" s="6">
        <v>3.7844000000000003E-2</v>
      </c>
      <c r="E72" s="6">
        <v>-2.6347999999999998</v>
      </c>
      <c r="F72" s="6">
        <v>-2.6200999999999999</v>
      </c>
      <c r="G72" s="6">
        <v>88.771000000000001</v>
      </c>
      <c r="H72" s="6">
        <v>28.452999999999999</v>
      </c>
      <c r="I72" s="6">
        <v>60.286999999999999</v>
      </c>
      <c r="J72" s="6">
        <v>708.97</v>
      </c>
      <c r="K72" s="6">
        <v>-2.1347000000000001E-2</v>
      </c>
      <c r="L72" s="6">
        <v>99.855999999999995</v>
      </c>
      <c r="M72" s="6">
        <v>0.11799</v>
      </c>
      <c r="N72" s="6">
        <v>5.9198999999999996E-3</v>
      </c>
      <c r="O72" s="6" t="s">
        <v>17</v>
      </c>
    </row>
    <row r="73" spans="1:15" ht="17" x14ac:dyDescent="0.35">
      <c r="A73" s="9">
        <v>91.090999999999994</v>
      </c>
      <c r="B73" s="11">
        <v>3.9529999999999998</v>
      </c>
      <c r="C73" s="6">
        <v>26.391999999999999</v>
      </c>
      <c r="D73" s="6">
        <v>3.789E-2</v>
      </c>
      <c r="E73" s="6">
        <v>-2.6246999999999998</v>
      </c>
      <c r="F73" s="6">
        <v>-2.6097000000000001</v>
      </c>
      <c r="G73" s="6">
        <v>88.882999999999996</v>
      </c>
      <c r="H73" s="6">
        <v>28.433</v>
      </c>
      <c r="I73" s="6">
        <v>60.347999999999999</v>
      </c>
      <c r="J73" s="6">
        <v>707.1</v>
      </c>
      <c r="K73" s="6">
        <v>-2.1111999999999999E-2</v>
      </c>
      <c r="L73" s="6">
        <v>99.316999999999993</v>
      </c>
      <c r="M73" s="6">
        <v>0.11765</v>
      </c>
      <c r="N73" s="6">
        <v>5.8840999999999997E-3</v>
      </c>
      <c r="O73" s="6" t="s">
        <v>17</v>
      </c>
    </row>
    <row r="74" spans="1:15" ht="17" x14ac:dyDescent="0.35">
      <c r="A74" s="9">
        <v>91.260999999999996</v>
      </c>
      <c r="B74" s="11">
        <v>4.0092999999999996</v>
      </c>
      <c r="C74" s="6">
        <v>26.36</v>
      </c>
      <c r="D74" s="6">
        <v>3.7935999999999998E-2</v>
      </c>
      <c r="E74" s="6">
        <v>-2.6145999999999998</v>
      </c>
      <c r="F74" s="6">
        <v>-2.5994000000000002</v>
      </c>
      <c r="G74" s="6">
        <v>88.992999999999995</v>
      </c>
      <c r="H74" s="6">
        <v>28.413</v>
      </c>
      <c r="I74" s="6">
        <v>60.41</v>
      </c>
      <c r="J74" s="6">
        <v>705.23</v>
      </c>
      <c r="K74" s="6">
        <v>-2.0878000000000001E-2</v>
      </c>
      <c r="L74" s="6">
        <v>98.787000000000006</v>
      </c>
      <c r="M74" s="6">
        <v>0.11731999999999999</v>
      </c>
      <c r="N74" s="6">
        <v>5.8487000000000001E-3</v>
      </c>
      <c r="O74" s="6" t="s">
        <v>17</v>
      </c>
    </row>
    <row r="75" spans="1:15" ht="17" x14ac:dyDescent="0.35">
      <c r="A75" s="9">
        <v>91.427999999999997</v>
      </c>
      <c r="B75" s="11">
        <v>4.0655999999999999</v>
      </c>
      <c r="C75" s="6">
        <v>26.329000000000001</v>
      </c>
      <c r="D75" s="6">
        <v>3.7981000000000001E-2</v>
      </c>
      <c r="E75" s="6">
        <v>-2.6046</v>
      </c>
      <c r="F75" s="6">
        <v>-2.5891999999999999</v>
      </c>
      <c r="G75" s="6">
        <v>89.102999999999994</v>
      </c>
      <c r="H75" s="6">
        <v>28.393000000000001</v>
      </c>
      <c r="I75" s="6">
        <v>60.472000000000001</v>
      </c>
      <c r="J75" s="6">
        <v>703.39</v>
      </c>
      <c r="K75" s="6">
        <v>-2.0643000000000002E-2</v>
      </c>
      <c r="L75" s="6">
        <v>98.266999999999996</v>
      </c>
      <c r="M75" s="6">
        <v>0.11699</v>
      </c>
      <c r="N75" s="6">
        <v>5.8136999999999998E-3</v>
      </c>
      <c r="O75" s="6" t="s">
        <v>17</v>
      </c>
    </row>
    <row r="76" spans="1:15" ht="17" x14ac:dyDescent="0.35">
      <c r="A76" s="9">
        <v>91.594999999999999</v>
      </c>
      <c r="B76" s="11">
        <v>4.1219000000000001</v>
      </c>
      <c r="C76" s="6">
        <v>26.297999999999998</v>
      </c>
      <c r="D76" s="6">
        <v>3.8025999999999997E-2</v>
      </c>
      <c r="E76" s="6">
        <v>-2.5947</v>
      </c>
      <c r="F76" s="6">
        <v>-2.5790000000000002</v>
      </c>
      <c r="G76" s="6">
        <v>89.210999999999999</v>
      </c>
      <c r="H76" s="6">
        <v>28.373999999999999</v>
      </c>
      <c r="I76" s="6">
        <v>60.533000000000001</v>
      </c>
      <c r="J76" s="6">
        <v>701.56</v>
      </c>
      <c r="K76" s="6">
        <v>-2.0409E-2</v>
      </c>
      <c r="L76" s="6">
        <v>97.754999999999995</v>
      </c>
      <c r="M76" s="6">
        <v>0.11666</v>
      </c>
      <c r="N76" s="6">
        <v>5.7790999999999997E-3</v>
      </c>
      <c r="O76" s="6" t="s">
        <v>17</v>
      </c>
    </row>
    <row r="77" spans="1:15" ht="17" x14ac:dyDescent="0.35">
      <c r="A77" s="9">
        <v>91.759</v>
      </c>
      <c r="B77" s="11">
        <v>4.1782000000000004</v>
      </c>
      <c r="C77" s="6">
        <v>26.266999999999999</v>
      </c>
      <c r="D77" s="6">
        <v>3.8071000000000001E-2</v>
      </c>
      <c r="E77" s="6">
        <v>-2.5849000000000002</v>
      </c>
      <c r="F77" s="6">
        <v>-2.569</v>
      </c>
      <c r="G77" s="6">
        <v>89.317999999999998</v>
      </c>
      <c r="H77" s="6">
        <v>28.355</v>
      </c>
      <c r="I77" s="6">
        <v>60.594999999999999</v>
      </c>
      <c r="J77" s="6">
        <v>699.75</v>
      </c>
      <c r="K77" s="6">
        <v>-2.0174000000000001E-2</v>
      </c>
      <c r="L77" s="6">
        <v>97.251999999999995</v>
      </c>
      <c r="M77" s="6">
        <v>0.11634</v>
      </c>
      <c r="N77" s="6">
        <v>5.7448999999999998E-3</v>
      </c>
      <c r="O77" s="6" t="s">
        <v>17</v>
      </c>
    </row>
    <row r="78" spans="1:15" ht="17" x14ac:dyDescent="0.35">
      <c r="A78" s="9">
        <v>91.921999999999997</v>
      </c>
      <c r="B78" s="11">
        <v>4.2344999999999997</v>
      </c>
      <c r="C78" s="6">
        <v>26.236000000000001</v>
      </c>
      <c r="D78" s="6">
        <v>3.8115999999999997E-2</v>
      </c>
      <c r="E78" s="6">
        <v>-2.5752000000000002</v>
      </c>
      <c r="F78" s="6">
        <v>-2.5590000000000002</v>
      </c>
      <c r="G78" s="6">
        <v>89.424000000000007</v>
      </c>
      <c r="H78" s="6">
        <v>28.335999999999999</v>
      </c>
      <c r="I78" s="6">
        <v>60.656999999999996</v>
      </c>
      <c r="J78" s="6">
        <v>697.95</v>
      </c>
      <c r="K78" s="6">
        <v>-1.9939999999999999E-2</v>
      </c>
      <c r="L78" s="6">
        <v>96.757999999999996</v>
      </c>
      <c r="M78" s="6">
        <v>0.11602</v>
      </c>
      <c r="N78" s="6">
        <v>5.7109999999999999E-3</v>
      </c>
      <c r="O78" s="6" t="s">
        <v>17</v>
      </c>
    </row>
    <row r="79" spans="1:15" ht="17" x14ac:dyDescent="0.35">
      <c r="A79" s="9">
        <v>92.082999999999998</v>
      </c>
      <c r="B79" s="11">
        <v>4.2907999999999999</v>
      </c>
      <c r="C79" s="6">
        <v>26.204999999999998</v>
      </c>
      <c r="D79" s="6">
        <v>3.8159999999999999E-2</v>
      </c>
      <c r="E79" s="6">
        <v>-2.5655999999999999</v>
      </c>
      <c r="F79" s="6">
        <v>-2.5491999999999999</v>
      </c>
      <c r="G79" s="6">
        <v>89.528999999999996</v>
      </c>
      <c r="H79" s="6">
        <v>28.318000000000001</v>
      </c>
      <c r="I79" s="6">
        <v>60.72</v>
      </c>
      <c r="J79" s="6">
        <v>696.17</v>
      </c>
      <c r="K79" s="6">
        <v>-1.9705E-2</v>
      </c>
      <c r="L79" s="6">
        <v>96.271000000000001</v>
      </c>
      <c r="M79" s="6">
        <v>0.1157</v>
      </c>
      <c r="N79" s="6">
        <v>5.6775999999999997E-3</v>
      </c>
      <c r="O79" s="6" t="s">
        <v>17</v>
      </c>
    </row>
    <row r="80" spans="1:15" ht="17" x14ac:dyDescent="0.35">
      <c r="A80" s="9">
        <v>92.242999999999995</v>
      </c>
      <c r="B80" s="11">
        <v>4.3470000000000004</v>
      </c>
      <c r="C80" s="6">
        <v>26.175000000000001</v>
      </c>
      <c r="D80" s="6">
        <v>3.8205000000000003E-2</v>
      </c>
      <c r="E80" s="6">
        <v>-2.556</v>
      </c>
      <c r="F80" s="6">
        <v>-2.5394000000000001</v>
      </c>
      <c r="G80" s="6">
        <v>89.632999999999996</v>
      </c>
      <c r="H80" s="6">
        <v>28.3</v>
      </c>
      <c r="I80" s="6">
        <v>60.781999999999996</v>
      </c>
      <c r="J80" s="6">
        <v>694.4</v>
      </c>
      <c r="K80" s="6">
        <v>-1.9470000000000001E-2</v>
      </c>
      <c r="L80" s="6">
        <v>95.793000000000006</v>
      </c>
      <c r="M80" s="6">
        <v>0.11538</v>
      </c>
      <c r="N80" s="6">
        <v>5.6443999999999999E-3</v>
      </c>
      <c r="O80" s="6" t="s">
        <v>17</v>
      </c>
    </row>
    <row r="81" spans="1:15" ht="17" x14ac:dyDescent="0.35">
      <c r="A81" s="9">
        <v>92.400999999999996</v>
      </c>
      <c r="B81" s="11">
        <v>4.4032999999999998</v>
      </c>
      <c r="C81" s="6">
        <v>26.145</v>
      </c>
      <c r="D81" s="6">
        <v>3.8248999999999998E-2</v>
      </c>
      <c r="E81" s="6">
        <v>-2.5466000000000002</v>
      </c>
      <c r="F81" s="6">
        <v>-2.5297000000000001</v>
      </c>
      <c r="G81" s="6">
        <v>89.734999999999999</v>
      </c>
      <c r="H81" s="6">
        <v>28.282</v>
      </c>
      <c r="I81" s="6">
        <v>60.844999999999999</v>
      </c>
      <c r="J81" s="6">
        <v>692.65</v>
      </c>
      <c r="K81" s="6">
        <v>-1.9236E-2</v>
      </c>
      <c r="L81" s="6">
        <v>95.322000000000003</v>
      </c>
      <c r="M81" s="6">
        <v>0.11507000000000001</v>
      </c>
      <c r="N81" s="6">
        <v>5.6116999999999998E-3</v>
      </c>
      <c r="O81" s="6" t="s">
        <v>17</v>
      </c>
    </row>
    <row r="82" spans="1:15" ht="17" x14ac:dyDescent="0.35">
      <c r="A82" s="9">
        <v>92.558000000000007</v>
      </c>
      <c r="B82" s="11">
        <v>4.4596</v>
      </c>
      <c r="C82" s="6">
        <v>26.114999999999998</v>
      </c>
      <c r="D82" s="6">
        <v>3.8293000000000001E-2</v>
      </c>
      <c r="E82" s="6">
        <v>-2.5371999999999999</v>
      </c>
      <c r="F82" s="6">
        <v>-2.5200999999999998</v>
      </c>
      <c r="G82" s="6">
        <v>89.837000000000003</v>
      </c>
      <c r="H82" s="6">
        <v>28.263999999999999</v>
      </c>
      <c r="I82" s="6">
        <v>60.906999999999996</v>
      </c>
      <c r="J82" s="6">
        <v>690.91</v>
      </c>
      <c r="K82" s="6">
        <v>-1.9001000000000001E-2</v>
      </c>
      <c r="L82" s="6">
        <v>94.858000000000004</v>
      </c>
      <c r="M82" s="6">
        <v>0.11476</v>
      </c>
      <c r="N82" s="6">
        <v>5.5792000000000003E-3</v>
      </c>
      <c r="O82" s="6" t="s">
        <v>17</v>
      </c>
    </row>
    <row r="83" spans="1:15" ht="17" x14ac:dyDescent="0.35">
      <c r="A83" s="9">
        <v>92.713999999999999</v>
      </c>
      <c r="B83" s="11">
        <v>4.5159000000000002</v>
      </c>
      <c r="C83" s="6">
        <v>26.085000000000001</v>
      </c>
      <c r="D83" s="6">
        <v>3.8336000000000002E-2</v>
      </c>
      <c r="E83" s="6">
        <v>-2.5278999999999998</v>
      </c>
      <c r="F83" s="6">
        <v>-2.5106000000000002</v>
      </c>
      <c r="G83" s="6">
        <v>89.938000000000002</v>
      </c>
      <c r="H83" s="6">
        <v>28.247</v>
      </c>
      <c r="I83" s="6">
        <v>60.97</v>
      </c>
      <c r="J83" s="6">
        <v>689.18</v>
      </c>
      <c r="K83" s="6">
        <v>-1.8765E-2</v>
      </c>
      <c r="L83" s="6">
        <v>94.402000000000001</v>
      </c>
      <c r="M83" s="6">
        <v>0.11446000000000001</v>
      </c>
      <c r="N83" s="6">
        <v>5.5471000000000001E-3</v>
      </c>
      <c r="O83" s="6" t="s">
        <v>17</v>
      </c>
    </row>
    <row r="84" spans="1:15" ht="17" x14ac:dyDescent="0.35">
      <c r="A84" s="9">
        <v>92.867999999999995</v>
      </c>
      <c r="B84" s="11">
        <v>4.5721999999999996</v>
      </c>
      <c r="C84" s="6">
        <v>26.055</v>
      </c>
      <c r="D84" s="6">
        <v>3.8379999999999997E-2</v>
      </c>
      <c r="E84" s="6">
        <v>-2.5186999999999999</v>
      </c>
      <c r="F84" s="6">
        <v>-2.5011000000000001</v>
      </c>
      <c r="G84" s="6">
        <v>90.037000000000006</v>
      </c>
      <c r="H84" s="6">
        <v>28.228999999999999</v>
      </c>
      <c r="I84" s="6">
        <v>61.033000000000001</v>
      </c>
      <c r="J84" s="6">
        <v>687.47</v>
      </c>
      <c r="K84" s="6">
        <v>-1.8530000000000001E-2</v>
      </c>
      <c r="L84" s="6">
        <v>93.951999999999998</v>
      </c>
      <c r="M84" s="6">
        <v>0.11415</v>
      </c>
      <c r="N84" s="6">
        <v>5.5152999999999999E-3</v>
      </c>
      <c r="O84" s="6" t="s">
        <v>17</v>
      </c>
    </row>
    <row r="85" spans="1:15" ht="17" x14ac:dyDescent="0.35">
      <c r="A85" s="9">
        <v>93.02</v>
      </c>
      <c r="B85" s="11">
        <v>4.6284999999999998</v>
      </c>
      <c r="C85" s="6">
        <v>26.026</v>
      </c>
      <c r="D85" s="6">
        <v>3.8422999999999999E-2</v>
      </c>
      <c r="E85" s="6">
        <v>-2.5095000000000001</v>
      </c>
      <c r="F85" s="6">
        <v>-2.4916999999999998</v>
      </c>
      <c r="G85" s="6">
        <v>90.135999999999996</v>
      </c>
      <c r="H85" s="6">
        <v>28.212</v>
      </c>
      <c r="I85" s="6">
        <v>61.095999999999997</v>
      </c>
      <c r="J85" s="6">
        <v>685.77</v>
      </c>
      <c r="K85" s="6">
        <v>-1.8294999999999999E-2</v>
      </c>
      <c r="L85" s="6">
        <v>93.509</v>
      </c>
      <c r="M85" s="6">
        <v>0.11385000000000001</v>
      </c>
      <c r="N85" s="6">
        <v>5.4838999999999999E-3</v>
      </c>
      <c r="O85" s="6" t="s">
        <v>17</v>
      </c>
    </row>
    <row r="86" spans="1:15" ht="17" x14ac:dyDescent="0.35">
      <c r="A86" s="9">
        <v>93.171999999999997</v>
      </c>
      <c r="B86" s="11">
        <v>4.6848000000000001</v>
      </c>
      <c r="C86" s="6">
        <v>25.997</v>
      </c>
      <c r="D86" s="6">
        <v>3.8466E-2</v>
      </c>
      <c r="E86" s="6">
        <v>-2.5004</v>
      </c>
      <c r="F86" s="6">
        <v>-2.4824000000000002</v>
      </c>
      <c r="G86" s="6">
        <v>90.233999999999995</v>
      </c>
      <c r="H86" s="6">
        <v>28.196000000000002</v>
      </c>
      <c r="I86" s="6">
        <v>61.158999999999999</v>
      </c>
      <c r="J86" s="6">
        <v>684.08</v>
      </c>
      <c r="K86" s="6">
        <v>-1.8058999999999999E-2</v>
      </c>
      <c r="L86" s="6">
        <v>93.072999999999993</v>
      </c>
      <c r="M86" s="6">
        <v>0.11355999999999999</v>
      </c>
      <c r="N86" s="6">
        <v>5.4527999999999998E-3</v>
      </c>
      <c r="O86" s="6" t="s">
        <v>17</v>
      </c>
    </row>
    <row r="87" spans="1:15" ht="17" x14ac:dyDescent="0.35">
      <c r="A87" s="9">
        <v>93.322000000000003</v>
      </c>
      <c r="B87" s="11">
        <v>4.7411000000000003</v>
      </c>
      <c r="C87" s="6">
        <v>25.968</v>
      </c>
      <c r="D87" s="6">
        <v>3.8509000000000002E-2</v>
      </c>
      <c r="E87" s="6">
        <v>-2.4914000000000001</v>
      </c>
      <c r="F87" s="6">
        <v>-2.4731999999999998</v>
      </c>
      <c r="G87" s="6">
        <v>90.33</v>
      </c>
      <c r="H87" s="6">
        <v>28.178999999999998</v>
      </c>
      <c r="I87" s="6">
        <v>61.222999999999999</v>
      </c>
      <c r="J87" s="6">
        <v>682.41</v>
      </c>
      <c r="K87" s="6">
        <v>-1.7822999999999999E-2</v>
      </c>
      <c r="L87" s="6">
        <v>92.644000000000005</v>
      </c>
      <c r="M87" s="6">
        <v>0.11326</v>
      </c>
      <c r="N87" s="6">
        <v>5.4219000000000003E-3</v>
      </c>
      <c r="O87" s="6" t="s">
        <v>17</v>
      </c>
    </row>
    <row r="88" spans="1:15" ht="17" x14ac:dyDescent="0.35">
      <c r="A88" s="9">
        <v>93.47</v>
      </c>
      <c r="B88" s="11">
        <v>4.7973999999999997</v>
      </c>
      <c r="C88" s="6">
        <v>25.939</v>
      </c>
      <c r="D88" s="6">
        <v>3.8551000000000002E-2</v>
      </c>
      <c r="E88" s="6">
        <v>-2.4824999999999999</v>
      </c>
      <c r="F88" s="6">
        <v>-2.464</v>
      </c>
      <c r="G88" s="6">
        <v>90.426000000000002</v>
      </c>
      <c r="H88" s="6">
        <v>28.163</v>
      </c>
      <c r="I88" s="6">
        <v>61.286000000000001</v>
      </c>
      <c r="J88" s="6">
        <v>680.74</v>
      </c>
      <c r="K88" s="6">
        <v>-1.7586999999999998E-2</v>
      </c>
      <c r="L88" s="6">
        <v>92.22</v>
      </c>
      <c r="M88" s="6">
        <v>0.11297</v>
      </c>
      <c r="N88" s="6">
        <v>5.3914000000000002E-3</v>
      </c>
      <c r="O88" s="6" t="s">
        <v>17</v>
      </c>
    </row>
    <row r="89" spans="1:15" ht="17" x14ac:dyDescent="0.35">
      <c r="A89" s="9">
        <v>93.617999999999995</v>
      </c>
      <c r="B89" s="11">
        <v>4.8536999999999999</v>
      </c>
      <c r="C89" s="6">
        <v>25.911000000000001</v>
      </c>
      <c r="D89" s="6">
        <v>3.8594000000000003E-2</v>
      </c>
      <c r="E89" s="6">
        <v>-2.4737</v>
      </c>
      <c r="F89" s="6">
        <v>-2.4548999999999999</v>
      </c>
      <c r="G89" s="6">
        <v>90.521000000000001</v>
      </c>
      <c r="H89" s="6">
        <v>28.146999999999998</v>
      </c>
      <c r="I89" s="6">
        <v>61.35</v>
      </c>
      <c r="J89" s="6">
        <v>679.09</v>
      </c>
      <c r="K89" s="6">
        <v>-1.7350999999999998E-2</v>
      </c>
      <c r="L89" s="6">
        <v>91.802999999999997</v>
      </c>
      <c r="M89" s="6">
        <v>0.11268</v>
      </c>
      <c r="N89" s="6">
        <v>5.3610999999999997E-3</v>
      </c>
      <c r="O89" s="6" t="s">
        <v>17</v>
      </c>
    </row>
    <row r="90" spans="1:15" ht="17" x14ac:dyDescent="0.35">
      <c r="A90" s="9">
        <v>93.763999999999996</v>
      </c>
      <c r="B90" s="11">
        <v>4.91</v>
      </c>
      <c r="C90" s="6">
        <v>25.882000000000001</v>
      </c>
      <c r="D90" s="6">
        <v>3.8635999999999997E-2</v>
      </c>
      <c r="E90" s="6">
        <v>-2.4649000000000001</v>
      </c>
      <c r="F90" s="6">
        <v>-2.4459</v>
      </c>
      <c r="G90" s="6">
        <v>90.614999999999995</v>
      </c>
      <c r="H90" s="6">
        <v>28.131</v>
      </c>
      <c r="I90" s="6">
        <v>61.414000000000001</v>
      </c>
      <c r="J90" s="6">
        <v>677.45</v>
      </c>
      <c r="K90" s="6">
        <v>-1.7114999999999998E-2</v>
      </c>
      <c r="L90" s="6">
        <v>91.391000000000005</v>
      </c>
      <c r="M90" s="6">
        <v>0.11239</v>
      </c>
      <c r="N90" s="6">
        <v>5.3312000000000003E-3</v>
      </c>
      <c r="O90" s="6" t="s">
        <v>17</v>
      </c>
    </row>
    <row r="91" spans="1:15" ht="17" x14ac:dyDescent="0.35">
      <c r="A91" s="9">
        <v>93.909000000000006</v>
      </c>
      <c r="B91" s="11">
        <v>4.9663000000000004</v>
      </c>
      <c r="C91" s="6">
        <v>25.853999999999999</v>
      </c>
      <c r="D91" s="6">
        <v>3.8677999999999997E-2</v>
      </c>
      <c r="E91" s="6">
        <v>-2.4561000000000002</v>
      </c>
      <c r="F91" s="6">
        <v>-2.4369000000000001</v>
      </c>
      <c r="G91" s="6">
        <v>90.707999999999998</v>
      </c>
      <c r="H91" s="6">
        <v>28.116</v>
      </c>
      <c r="I91" s="6">
        <v>61.478000000000002</v>
      </c>
      <c r="J91" s="6">
        <v>675.83</v>
      </c>
      <c r="K91" s="6">
        <v>-1.6878000000000001E-2</v>
      </c>
      <c r="L91" s="6">
        <v>90.986000000000004</v>
      </c>
      <c r="M91" s="6">
        <v>0.11210000000000001</v>
      </c>
      <c r="N91" s="6">
        <v>5.3014999999999998E-3</v>
      </c>
      <c r="O91" s="6" t="s">
        <v>17</v>
      </c>
    </row>
    <row r="92" spans="1:15" ht="17" x14ac:dyDescent="0.35">
      <c r="A92" s="9">
        <v>94.052000000000007</v>
      </c>
      <c r="B92" s="11">
        <v>5.0225</v>
      </c>
      <c r="C92" s="6">
        <v>25.826000000000001</v>
      </c>
      <c r="D92" s="6">
        <v>3.8719999999999997E-2</v>
      </c>
      <c r="E92" s="6">
        <v>-2.4474999999999998</v>
      </c>
      <c r="F92" s="6">
        <v>-2.4279999999999999</v>
      </c>
      <c r="G92" s="6">
        <v>90.801000000000002</v>
      </c>
      <c r="H92" s="6">
        <v>28.1</v>
      </c>
      <c r="I92" s="6">
        <v>61.542000000000002</v>
      </c>
      <c r="J92" s="6">
        <v>674.21</v>
      </c>
      <c r="K92" s="6">
        <v>-1.6641E-2</v>
      </c>
      <c r="L92" s="6">
        <v>90.585999999999999</v>
      </c>
      <c r="M92" s="6">
        <v>0.11182</v>
      </c>
      <c r="N92" s="6">
        <v>5.2721000000000001E-3</v>
      </c>
      <c r="O92" s="6" t="s">
        <v>17</v>
      </c>
    </row>
    <row r="93" spans="1:15" ht="17" x14ac:dyDescent="0.35">
      <c r="A93" s="9">
        <v>94.194999999999993</v>
      </c>
      <c r="B93" s="11">
        <v>5.0788000000000002</v>
      </c>
      <c r="C93" s="6">
        <v>25.797999999999998</v>
      </c>
      <c r="D93" s="6">
        <v>3.8761999999999998E-2</v>
      </c>
      <c r="E93" s="6">
        <v>-2.4388999999999998</v>
      </c>
      <c r="F93" s="6">
        <v>-2.4192</v>
      </c>
      <c r="G93" s="6">
        <v>90.891999999999996</v>
      </c>
      <c r="H93" s="6">
        <v>28.085000000000001</v>
      </c>
      <c r="I93" s="6">
        <v>61.606999999999999</v>
      </c>
      <c r="J93" s="6">
        <v>672.6</v>
      </c>
      <c r="K93" s="6">
        <v>-1.6403999999999998E-2</v>
      </c>
      <c r="L93" s="6">
        <v>90.191000000000003</v>
      </c>
      <c r="M93" s="6">
        <v>0.11154</v>
      </c>
      <c r="N93" s="6">
        <v>5.2430000000000003E-3</v>
      </c>
      <c r="O93" s="6" t="s">
        <v>17</v>
      </c>
    </row>
    <row r="94" spans="1:15" ht="17" x14ac:dyDescent="0.35">
      <c r="A94" s="9">
        <v>94.335999999999999</v>
      </c>
      <c r="B94" s="11">
        <v>5.1351000000000004</v>
      </c>
      <c r="C94" s="6">
        <v>25.771000000000001</v>
      </c>
      <c r="D94" s="6">
        <v>3.8803999999999998E-2</v>
      </c>
      <c r="E94" s="6">
        <v>-2.4302999999999999</v>
      </c>
      <c r="F94" s="6">
        <v>-2.4104000000000001</v>
      </c>
      <c r="G94" s="6">
        <v>90.983000000000004</v>
      </c>
      <c r="H94" s="6">
        <v>28.07</v>
      </c>
      <c r="I94" s="6">
        <v>61.670999999999999</v>
      </c>
      <c r="J94" s="6">
        <v>671.01</v>
      </c>
      <c r="K94" s="6">
        <v>-1.6167000000000001E-2</v>
      </c>
      <c r="L94" s="6">
        <v>89.802000000000007</v>
      </c>
      <c r="M94" s="6">
        <v>0.11126</v>
      </c>
      <c r="N94" s="6">
        <v>5.2141000000000002E-3</v>
      </c>
      <c r="O94" s="6" t="s">
        <v>17</v>
      </c>
    </row>
    <row r="95" spans="1:15" ht="17" x14ac:dyDescent="0.35">
      <c r="A95" s="9">
        <v>94.477000000000004</v>
      </c>
      <c r="B95" s="11">
        <v>5.1913999999999998</v>
      </c>
      <c r="C95" s="6">
        <v>25.742999999999999</v>
      </c>
      <c r="D95" s="6">
        <v>3.8844999999999998E-2</v>
      </c>
      <c r="E95" s="6">
        <v>-2.4218999999999999</v>
      </c>
      <c r="F95" s="6">
        <v>-2.4016999999999999</v>
      </c>
      <c r="G95" s="6">
        <v>91.072999999999993</v>
      </c>
      <c r="H95" s="6">
        <v>28.055</v>
      </c>
      <c r="I95" s="6">
        <v>61.735999999999997</v>
      </c>
      <c r="J95" s="6">
        <v>669.43</v>
      </c>
      <c r="K95" s="6">
        <v>-1.593E-2</v>
      </c>
      <c r="L95" s="6">
        <v>89.417000000000002</v>
      </c>
      <c r="M95" s="6">
        <v>0.11098</v>
      </c>
      <c r="N95" s="6">
        <v>5.1855E-3</v>
      </c>
      <c r="O95" s="6" t="s">
        <v>17</v>
      </c>
    </row>
    <row r="96" spans="1:15" ht="17" x14ac:dyDescent="0.35">
      <c r="A96" s="9">
        <v>94.616</v>
      </c>
      <c r="B96" s="11">
        <v>5.2477</v>
      </c>
      <c r="C96" s="6">
        <v>25.716000000000001</v>
      </c>
      <c r="D96" s="6">
        <v>3.8886999999999998E-2</v>
      </c>
      <c r="E96" s="6">
        <v>-2.4135</v>
      </c>
      <c r="F96" s="6">
        <v>-2.3929999999999998</v>
      </c>
      <c r="G96" s="6">
        <v>91.162000000000006</v>
      </c>
      <c r="H96" s="6">
        <v>28.041</v>
      </c>
      <c r="I96" s="6">
        <v>61.801000000000002</v>
      </c>
      <c r="J96" s="6">
        <v>667.85</v>
      </c>
      <c r="K96" s="6">
        <v>-1.5692000000000001E-2</v>
      </c>
      <c r="L96" s="6">
        <v>89.037999999999997</v>
      </c>
      <c r="M96" s="6">
        <v>0.11071</v>
      </c>
      <c r="N96" s="6">
        <v>5.1571999999999998E-3</v>
      </c>
      <c r="O96" s="6" t="s">
        <v>17</v>
      </c>
    </row>
    <row r="97" spans="1:15" ht="17" x14ac:dyDescent="0.35">
      <c r="A97" s="9">
        <v>94.754000000000005</v>
      </c>
      <c r="B97" s="11">
        <v>5.3040000000000003</v>
      </c>
      <c r="C97" s="6">
        <v>25.687999999999999</v>
      </c>
      <c r="D97" s="6">
        <v>3.8927999999999997E-2</v>
      </c>
      <c r="E97" s="6">
        <v>-2.4051</v>
      </c>
      <c r="F97" s="6">
        <v>-2.3843999999999999</v>
      </c>
      <c r="G97" s="6">
        <v>91.251000000000005</v>
      </c>
      <c r="H97" s="6">
        <v>28.026</v>
      </c>
      <c r="I97" s="6">
        <v>61.866</v>
      </c>
      <c r="J97" s="6">
        <v>666.29</v>
      </c>
      <c r="K97" s="6">
        <v>-1.5454000000000001E-2</v>
      </c>
      <c r="L97" s="6">
        <v>88.664000000000001</v>
      </c>
      <c r="M97" s="6">
        <v>0.11044</v>
      </c>
      <c r="N97" s="6">
        <v>5.1291000000000002E-3</v>
      </c>
      <c r="O97" s="6" t="s">
        <v>17</v>
      </c>
    </row>
    <row r="98" spans="1:15" ht="17" x14ac:dyDescent="0.35">
      <c r="A98" s="9">
        <v>94.891000000000005</v>
      </c>
      <c r="B98" s="11">
        <v>5.3602999999999996</v>
      </c>
      <c r="C98" s="6">
        <v>25.661000000000001</v>
      </c>
      <c r="D98" s="6">
        <v>3.8968999999999997E-2</v>
      </c>
      <c r="E98" s="6">
        <v>-2.3967999999999998</v>
      </c>
      <c r="F98" s="6">
        <v>-2.3759000000000001</v>
      </c>
      <c r="G98" s="6">
        <v>91.337999999999994</v>
      </c>
      <c r="H98" s="6">
        <v>28.012</v>
      </c>
      <c r="I98" s="6">
        <v>61.930999999999997</v>
      </c>
      <c r="J98" s="6">
        <v>664.73</v>
      </c>
      <c r="K98" s="6">
        <v>-1.5214999999999999E-2</v>
      </c>
      <c r="L98" s="6">
        <v>88.295000000000002</v>
      </c>
      <c r="M98" s="6">
        <v>0.11017</v>
      </c>
      <c r="N98" s="6">
        <v>5.1012000000000002E-3</v>
      </c>
      <c r="O98" s="6" t="s">
        <v>17</v>
      </c>
    </row>
    <row r="99" spans="1:15" ht="17" x14ac:dyDescent="0.35">
      <c r="A99" s="9">
        <v>95.027000000000001</v>
      </c>
      <c r="B99" s="11">
        <v>5.4165999999999999</v>
      </c>
      <c r="C99" s="6">
        <v>25.634</v>
      </c>
      <c r="D99" s="6">
        <v>3.9010000000000003E-2</v>
      </c>
      <c r="E99" s="6">
        <v>-2.3885999999999998</v>
      </c>
      <c r="F99" s="6">
        <v>-2.3673999999999999</v>
      </c>
      <c r="G99" s="6">
        <v>91.426000000000002</v>
      </c>
      <c r="H99" s="6">
        <v>27.998000000000001</v>
      </c>
      <c r="I99" s="6">
        <v>61.996000000000002</v>
      </c>
      <c r="J99" s="6">
        <v>663.19</v>
      </c>
      <c r="K99" s="6">
        <v>-1.4976E-2</v>
      </c>
      <c r="L99" s="6">
        <v>87.93</v>
      </c>
      <c r="M99" s="6">
        <v>0.1099</v>
      </c>
      <c r="N99" s="6">
        <v>5.0736000000000002E-3</v>
      </c>
      <c r="O99" s="6" t="s">
        <v>17</v>
      </c>
    </row>
    <row r="100" spans="1:15" ht="17" x14ac:dyDescent="0.35">
      <c r="A100" s="9">
        <v>95.162000000000006</v>
      </c>
      <c r="B100" s="11">
        <v>5.4729000000000001</v>
      </c>
      <c r="C100" s="6">
        <v>25.608000000000001</v>
      </c>
      <c r="D100" s="6">
        <v>3.9051000000000002E-2</v>
      </c>
      <c r="E100" s="6">
        <v>-2.3803999999999998</v>
      </c>
      <c r="F100" s="6">
        <v>-2.359</v>
      </c>
      <c r="G100" s="6">
        <v>91.512</v>
      </c>
      <c r="H100" s="6">
        <v>27.984000000000002</v>
      </c>
      <c r="I100" s="6">
        <v>62.061999999999998</v>
      </c>
      <c r="J100" s="6">
        <v>661.66</v>
      </c>
      <c r="K100" s="6">
        <v>-1.4737E-2</v>
      </c>
      <c r="L100" s="6">
        <v>87.57</v>
      </c>
      <c r="M100" s="6">
        <v>0.10963000000000001</v>
      </c>
      <c r="N100" s="6">
        <v>5.0461999999999998E-3</v>
      </c>
      <c r="O100" s="6" t="s">
        <v>17</v>
      </c>
    </row>
    <row r="101" spans="1:15" ht="17" x14ac:dyDescent="0.35">
      <c r="A101" s="9">
        <v>95.296000000000006</v>
      </c>
      <c r="B101" s="11">
        <v>5.5292000000000003</v>
      </c>
      <c r="C101" s="6">
        <v>25.581</v>
      </c>
      <c r="D101" s="6">
        <v>3.9091000000000001E-2</v>
      </c>
      <c r="E101" s="6">
        <v>-2.3721999999999999</v>
      </c>
      <c r="F101" s="6">
        <v>-2.3506</v>
      </c>
      <c r="G101" s="6">
        <v>91.596999999999994</v>
      </c>
      <c r="H101" s="6">
        <v>27.971</v>
      </c>
      <c r="I101" s="6">
        <v>62.128</v>
      </c>
      <c r="J101" s="6">
        <v>660.13</v>
      </c>
      <c r="K101" s="6">
        <v>-1.4498E-2</v>
      </c>
      <c r="L101" s="6">
        <v>87.215000000000003</v>
      </c>
      <c r="M101" s="6">
        <v>0.10936999999999999</v>
      </c>
      <c r="N101" s="6">
        <v>5.0191000000000003E-3</v>
      </c>
      <c r="O101" s="6" t="s">
        <v>17</v>
      </c>
    </row>
    <row r="102" spans="1:15" ht="17" x14ac:dyDescent="0.35">
      <c r="A102" s="9">
        <v>95.429000000000002</v>
      </c>
      <c r="B102" s="11">
        <v>5.5854999999999997</v>
      </c>
      <c r="C102" s="6">
        <v>25.555</v>
      </c>
      <c r="D102" s="6">
        <v>3.9132E-2</v>
      </c>
      <c r="E102" s="6">
        <v>-2.3641999999999999</v>
      </c>
      <c r="F102" s="6">
        <v>-2.3422999999999998</v>
      </c>
      <c r="G102" s="6">
        <v>91.682000000000002</v>
      </c>
      <c r="H102" s="6">
        <v>27.957000000000001</v>
      </c>
      <c r="I102" s="6">
        <v>62.194000000000003</v>
      </c>
      <c r="J102" s="6">
        <v>658.62</v>
      </c>
      <c r="K102" s="6">
        <v>-1.4258E-2</v>
      </c>
      <c r="L102" s="6">
        <v>86.864000000000004</v>
      </c>
      <c r="M102" s="6">
        <v>0.10911</v>
      </c>
      <c r="N102" s="6">
        <v>4.9921999999999996E-3</v>
      </c>
      <c r="O102" s="6" t="s">
        <v>17</v>
      </c>
    </row>
    <row r="103" spans="1:15" ht="17" x14ac:dyDescent="0.35">
      <c r="A103" s="9">
        <v>95.561999999999998</v>
      </c>
      <c r="B103" s="11">
        <v>5.6417000000000002</v>
      </c>
      <c r="C103" s="6">
        <v>25.527999999999999</v>
      </c>
      <c r="D103" s="6">
        <v>3.9171999999999998E-2</v>
      </c>
      <c r="E103" s="6">
        <v>-2.3561000000000001</v>
      </c>
      <c r="F103" s="6">
        <v>-2.3340000000000001</v>
      </c>
      <c r="G103" s="6">
        <v>91.766999999999996</v>
      </c>
      <c r="H103" s="6">
        <v>27.943999999999999</v>
      </c>
      <c r="I103" s="6">
        <v>62.26</v>
      </c>
      <c r="J103" s="6">
        <v>657.11</v>
      </c>
      <c r="K103" s="6">
        <v>-1.4017999999999999E-2</v>
      </c>
      <c r="L103" s="6">
        <v>86.516999999999996</v>
      </c>
      <c r="M103" s="6">
        <v>0.10885</v>
      </c>
      <c r="N103" s="6">
        <v>4.9655000000000003E-3</v>
      </c>
      <c r="O103" s="6" t="s">
        <v>17</v>
      </c>
    </row>
    <row r="104" spans="1:15" ht="17" x14ac:dyDescent="0.35">
      <c r="A104" s="9">
        <v>95.692999999999998</v>
      </c>
      <c r="B104" s="11">
        <v>5.6980000000000004</v>
      </c>
      <c r="C104" s="6">
        <v>25.501999999999999</v>
      </c>
      <c r="D104" s="6">
        <v>3.9212999999999998E-2</v>
      </c>
      <c r="E104" s="6">
        <v>-2.3481999999999998</v>
      </c>
      <c r="F104" s="6">
        <v>-2.3258000000000001</v>
      </c>
      <c r="G104" s="6">
        <v>91.85</v>
      </c>
      <c r="H104" s="6">
        <v>27.931000000000001</v>
      </c>
      <c r="I104" s="6">
        <v>62.326000000000001</v>
      </c>
      <c r="J104" s="6">
        <v>655.61</v>
      </c>
      <c r="K104" s="6">
        <v>-1.3778E-2</v>
      </c>
      <c r="L104" s="6">
        <v>86.174000000000007</v>
      </c>
      <c r="M104" s="6">
        <v>0.10859000000000001</v>
      </c>
      <c r="N104" s="6">
        <v>4.9389999999999998E-3</v>
      </c>
      <c r="O104" s="6" t="s">
        <v>17</v>
      </c>
    </row>
    <row r="105" spans="1:15" ht="17" x14ac:dyDescent="0.35">
      <c r="A105" s="9">
        <v>95.822999999999993</v>
      </c>
      <c r="B105" s="11">
        <v>5.7542999999999997</v>
      </c>
      <c r="C105" s="6">
        <v>25.475999999999999</v>
      </c>
      <c r="D105" s="6">
        <v>3.9253000000000003E-2</v>
      </c>
      <c r="E105" s="6">
        <v>-2.3401999999999998</v>
      </c>
      <c r="F105" s="6">
        <v>-2.3176999999999999</v>
      </c>
      <c r="G105" s="6">
        <v>91.933000000000007</v>
      </c>
      <c r="H105" s="6">
        <v>27.917999999999999</v>
      </c>
      <c r="I105" s="6">
        <v>62.393000000000001</v>
      </c>
      <c r="J105" s="6">
        <v>654.12</v>
      </c>
      <c r="K105" s="6">
        <v>-1.3537E-2</v>
      </c>
      <c r="L105" s="6">
        <v>85.835999999999999</v>
      </c>
      <c r="M105" s="6">
        <v>0.10833</v>
      </c>
      <c r="N105" s="6">
        <v>4.9126999999999999E-3</v>
      </c>
      <c r="O105" s="6" t="s">
        <v>17</v>
      </c>
    </row>
    <row r="106" spans="1:15" ht="17" x14ac:dyDescent="0.35">
      <c r="A106" s="9">
        <v>95.951999999999998</v>
      </c>
      <c r="B106" s="11">
        <v>5.8106</v>
      </c>
      <c r="C106" s="6">
        <v>25.45</v>
      </c>
      <c r="D106" s="6">
        <v>3.9293000000000002E-2</v>
      </c>
      <c r="E106" s="6">
        <v>-2.3323999999999998</v>
      </c>
      <c r="F106" s="6">
        <v>-2.3094999999999999</v>
      </c>
      <c r="G106" s="6">
        <v>92.016000000000005</v>
      </c>
      <c r="H106" s="6">
        <v>27.905000000000001</v>
      </c>
      <c r="I106" s="6">
        <v>62.459000000000003</v>
      </c>
      <c r="J106" s="6">
        <v>652.64</v>
      </c>
      <c r="K106" s="6">
        <v>-1.3296000000000001E-2</v>
      </c>
      <c r="L106" s="6">
        <v>85.501000000000005</v>
      </c>
      <c r="M106" s="6">
        <v>0.10808</v>
      </c>
      <c r="N106" s="6">
        <v>4.8866999999999999E-3</v>
      </c>
      <c r="O106" s="6" t="s">
        <v>17</v>
      </c>
    </row>
    <row r="107" spans="1:15" ht="17" x14ac:dyDescent="0.35">
      <c r="A107" s="9">
        <v>96.08</v>
      </c>
      <c r="B107" s="11">
        <v>5.8669000000000002</v>
      </c>
      <c r="C107" s="6">
        <v>25.423999999999999</v>
      </c>
      <c r="D107" s="6">
        <v>3.9333E-2</v>
      </c>
      <c r="E107" s="6">
        <v>-2.3245</v>
      </c>
      <c r="F107" s="6">
        <v>-2.3014999999999999</v>
      </c>
      <c r="G107" s="6">
        <v>92.096999999999994</v>
      </c>
      <c r="H107" s="6">
        <v>27.891999999999999</v>
      </c>
      <c r="I107" s="6">
        <v>62.526000000000003</v>
      </c>
      <c r="J107" s="6">
        <v>651.16999999999996</v>
      </c>
      <c r="K107" s="6">
        <v>-1.3055000000000001E-2</v>
      </c>
      <c r="L107" s="6">
        <v>85.171000000000006</v>
      </c>
      <c r="M107" s="6">
        <v>0.10783</v>
      </c>
      <c r="N107" s="6">
        <v>4.8608999999999996E-3</v>
      </c>
      <c r="O107" s="6" t="s">
        <v>17</v>
      </c>
    </row>
    <row r="108" spans="1:15" ht="17" x14ac:dyDescent="0.35">
      <c r="A108" s="9">
        <v>96.207999999999998</v>
      </c>
      <c r="B108" s="11">
        <v>5.9231999999999996</v>
      </c>
      <c r="C108" s="6">
        <v>25.398</v>
      </c>
      <c r="D108" s="6">
        <v>3.9371999999999997E-2</v>
      </c>
      <c r="E108" s="6">
        <v>-2.3168000000000002</v>
      </c>
      <c r="F108" s="6">
        <v>-2.2934000000000001</v>
      </c>
      <c r="G108" s="6">
        <v>92.177999999999997</v>
      </c>
      <c r="H108" s="6">
        <v>27.88</v>
      </c>
      <c r="I108" s="6">
        <v>62.594000000000001</v>
      </c>
      <c r="J108" s="6">
        <v>649.71</v>
      </c>
      <c r="K108" s="6">
        <v>-1.2813E-2</v>
      </c>
      <c r="L108" s="6">
        <v>84.843999999999994</v>
      </c>
      <c r="M108" s="6">
        <v>0.10758</v>
      </c>
      <c r="N108" s="6">
        <v>4.8351999999999996E-3</v>
      </c>
      <c r="O108" s="6" t="s">
        <v>17</v>
      </c>
    </row>
    <row r="109" spans="1:15" ht="17" x14ac:dyDescent="0.35">
      <c r="A109" s="9">
        <v>96.334999999999994</v>
      </c>
      <c r="B109" s="11">
        <v>5.9794999999999998</v>
      </c>
      <c r="C109" s="6">
        <v>25.373000000000001</v>
      </c>
      <c r="D109" s="6">
        <v>3.9412000000000003E-2</v>
      </c>
      <c r="E109" s="6">
        <v>-2.3090000000000002</v>
      </c>
      <c r="F109" s="6">
        <v>-2.2854999999999999</v>
      </c>
      <c r="G109" s="6">
        <v>92.259</v>
      </c>
      <c r="H109" s="6">
        <v>27.867999999999999</v>
      </c>
      <c r="I109" s="6">
        <v>62.661000000000001</v>
      </c>
      <c r="J109" s="6">
        <v>648.25</v>
      </c>
      <c r="K109" s="6">
        <v>-1.2571000000000001E-2</v>
      </c>
      <c r="L109" s="6">
        <v>84.521000000000001</v>
      </c>
      <c r="M109" s="6">
        <v>0.10732999999999999</v>
      </c>
      <c r="N109" s="6">
        <v>4.8098000000000004E-3</v>
      </c>
      <c r="O109" s="6" t="s">
        <v>17</v>
      </c>
    </row>
    <row r="110" spans="1:15" ht="17" x14ac:dyDescent="0.35">
      <c r="A110" s="9">
        <v>96.46</v>
      </c>
      <c r="B110" s="11">
        <v>6.0358000000000001</v>
      </c>
      <c r="C110" s="6">
        <v>25.347000000000001</v>
      </c>
      <c r="D110" s="6">
        <v>3.9452000000000001E-2</v>
      </c>
      <c r="E110" s="6">
        <v>-2.3014000000000001</v>
      </c>
      <c r="F110" s="6">
        <v>-2.2774999999999999</v>
      </c>
      <c r="G110" s="6">
        <v>92.338999999999999</v>
      </c>
      <c r="H110" s="6">
        <v>27.855</v>
      </c>
      <c r="I110" s="6">
        <v>62.728000000000002</v>
      </c>
      <c r="J110" s="6">
        <v>646.79999999999995</v>
      </c>
      <c r="K110" s="6">
        <v>-1.2329E-2</v>
      </c>
      <c r="L110" s="6">
        <v>84.200999999999993</v>
      </c>
      <c r="M110" s="6">
        <v>0.10707999999999999</v>
      </c>
      <c r="N110" s="6">
        <v>4.7846E-3</v>
      </c>
      <c r="O110" s="6" t="s">
        <v>17</v>
      </c>
    </row>
    <row r="111" spans="1:15" ht="17" x14ac:dyDescent="0.35">
      <c r="A111" s="9">
        <v>96.584999999999994</v>
      </c>
      <c r="B111" s="11">
        <v>6.0921000000000003</v>
      </c>
      <c r="C111" s="6">
        <v>25.321999999999999</v>
      </c>
      <c r="D111" s="6">
        <v>3.9490999999999998E-2</v>
      </c>
      <c r="E111" s="6">
        <v>-2.2936999999999999</v>
      </c>
      <c r="F111" s="6">
        <v>-2.2696999999999998</v>
      </c>
      <c r="G111" s="6">
        <v>92.418000000000006</v>
      </c>
      <c r="H111" s="6">
        <v>27.843</v>
      </c>
      <c r="I111" s="6">
        <v>62.795999999999999</v>
      </c>
      <c r="J111" s="6">
        <v>645.36</v>
      </c>
      <c r="K111" s="6">
        <v>-1.2086E-2</v>
      </c>
      <c r="L111" s="6">
        <v>83.885000000000005</v>
      </c>
      <c r="M111" s="6">
        <v>0.10682999999999999</v>
      </c>
      <c r="N111" s="6">
        <v>4.7596000000000001E-3</v>
      </c>
      <c r="O111" s="6" t="s">
        <v>17</v>
      </c>
    </row>
    <row r="112" spans="1:15" ht="17" x14ac:dyDescent="0.35">
      <c r="A112" s="9">
        <v>96.709000000000003</v>
      </c>
      <c r="B112" s="11">
        <v>6.1483999999999996</v>
      </c>
      <c r="C112" s="6">
        <v>25.297000000000001</v>
      </c>
      <c r="D112" s="6">
        <v>3.9530999999999997E-2</v>
      </c>
      <c r="E112" s="6">
        <v>-2.2860999999999998</v>
      </c>
      <c r="F112" s="6">
        <v>-2.2618</v>
      </c>
      <c r="G112" s="6">
        <v>92.497</v>
      </c>
      <c r="H112" s="6">
        <v>27.831</v>
      </c>
      <c r="I112" s="6">
        <v>62.863999999999997</v>
      </c>
      <c r="J112" s="6">
        <v>643.92999999999995</v>
      </c>
      <c r="K112" s="6">
        <v>-1.1842E-2</v>
      </c>
      <c r="L112" s="6">
        <v>83.572999999999993</v>
      </c>
      <c r="M112" s="6">
        <v>0.10659</v>
      </c>
      <c r="N112" s="6">
        <v>4.7346999999999997E-3</v>
      </c>
      <c r="O112" s="6" t="s">
        <v>17</v>
      </c>
    </row>
    <row r="113" spans="1:18" ht="17" x14ac:dyDescent="0.35">
      <c r="A113" s="9">
        <v>96.832999999999998</v>
      </c>
      <c r="B113" s="11">
        <v>6.2046999999999999</v>
      </c>
      <c r="C113" s="6">
        <v>25.271999999999998</v>
      </c>
      <c r="D113" s="6">
        <v>3.9570000000000001E-2</v>
      </c>
      <c r="E113" s="6">
        <v>-2.2786</v>
      </c>
      <c r="F113" s="6">
        <v>-2.254</v>
      </c>
      <c r="G113" s="6">
        <v>92.575000000000003</v>
      </c>
      <c r="H113" s="6">
        <v>27.82</v>
      </c>
      <c r="I113" s="6">
        <v>62.932000000000002</v>
      </c>
      <c r="J113" s="6">
        <v>642.51</v>
      </c>
      <c r="K113" s="6">
        <v>-1.1599E-2</v>
      </c>
      <c r="L113" s="6">
        <v>83.263999999999996</v>
      </c>
      <c r="M113" s="6">
        <v>0.10635</v>
      </c>
      <c r="N113" s="6">
        <v>4.7101000000000001E-3</v>
      </c>
      <c r="O113" s="6" t="s">
        <v>17</v>
      </c>
    </row>
    <row r="114" spans="1:18" ht="17" x14ac:dyDescent="0.35">
      <c r="A114" s="9">
        <v>96.954999999999998</v>
      </c>
      <c r="B114" s="11">
        <v>6.2610000000000001</v>
      </c>
      <c r="C114" s="6">
        <v>25.247</v>
      </c>
      <c r="D114" s="6">
        <v>3.9608999999999998E-2</v>
      </c>
      <c r="E114" s="6">
        <v>-2.2711000000000001</v>
      </c>
      <c r="F114" s="6">
        <v>-2.2463000000000002</v>
      </c>
      <c r="G114" s="6">
        <v>92.653000000000006</v>
      </c>
      <c r="H114" s="6">
        <v>27.808</v>
      </c>
      <c r="I114" s="6">
        <v>63</v>
      </c>
      <c r="J114" s="6">
        <v>641.09</v>
      </c>
      <c r="K114" s="6">
        <v>-1.1355000000000001E-2</v>
      </c>
      <c r="L114" s="6">
        <v>82.959000000000003</v>
      </c>
      <c r="M114" s="6">
        <v>0.10611</v>
      </c>
      <c r="N114" s="6">
        <v>4.6855999999999998E-3</v>
      </c>
      <c r="O114" s="6" t="s">
        <v>17</v>
      </c>
    </row>
    <row r="115" spans="1:18" ht="17" x14ac:dyDescent="0.35">
      <c r="A115" s="9">
        <v>97.076999999999998</v>
      </c>
      <c r="B115" s="11">
        <v>6.3171999999999997</v>
      </c>
      <c r="C115" s="6">
        <v>25.222000000000001</v>
      </c>
      <c r="D115" s="6">
        <v>3.9648000000000003E-2</v>
      </c>
      <c r="E115" s="6">
        <v>-2.2635999999999998</v>
      </c>
      <c r="F115" s="6">
        <v>-2.2385999999999999</v>
      </c>
      <c r="G115" s="6">
        <v>92.73</v>
      </c>
      <c r="H115" s="6">
        <v>27.797000000000001</v>
      </c>
      <c r="I115" s="6">
        <v>63.069000000000003</v>
      </c>
      <c r="J115" s="6">
        <v>639.67999999999995</v>
      </c>
      <c r="K115" s="6">
        <v>-1.111E-2</v>
      </c>
      <c r="L115" s="6">
        <v>82.656000000000006</v>
      </c>
      <c r="M115" s="6">
        <v>0.10587000000000001</v>
      </c>
      <c r="N115" s="6">
        <v>4.6613000000000002E-3</v>
      </c>
      <c r="O115" s="6" t="s">
        <v>17</v>
      </c>
    </row>
    <row r="116" spans="1:18" ht="17" x14ac:dyDescent="0.35">
      <c r="A116" s="9">
        <v>97.197999999999993</v>
      </c>
      <c r="B116" s="11">
        <v>6.3734999999999999</v>
      </c>
      <c r="C116" s="6">
        <v>25.196999999999999</v>
      </c>
      <c r="D116" s="6">
        <v>3.9687E-2</v>
      </c>
      <c r="E116" s="6">
        <v>-2.2562000000000002</v>
      </c>
      <c r="F116" s="6">
        <v>-2.2309000000000001</v>
      </c>
      <c r="G116" s="6">
        <v>92.807000000000002</v>
      </c>
      <c r="H116" s="6">
        <v>27.785</v>
      </c>
      <c r="I116" s="6">
        <v>63.137999999999998</v>
      </c>
      <c r="J116" s="6">
        <v>638.28</v>
      </c>
      <c r="K116" s="6">
        <v>-1.0865E-2</v>
      </c>
      <c r="L116" s="6">
        <v>82.356999999999999</v>
      </c>
      <c r="M116" s="6">
        <v>0.10563</v>
      </c>
      <c r="N116" s="6">
        <v>4.6372000000000002E-3</v>
      </c>
      <c r="O116" s="6" t="s">
        <v>17</v>
      </c>
    </row>
    <row r="117" spans="1:18" ht="17" x14ac:dyDescent="0.35">
      <c r="A117" s="9">
        <v>97.317999999999998</v>
      </c>
      <c r="B117" s="11">
        <v>6.4298000000000002</v>
      </c>
      <c r="C117" s="6">
        <v>25.172000000000001</v>
      </c>
      <c r="D117" s="6">
        <v>3.9725999999999997E-2</v>
      </c>
      <c r="E117" s="6">
        <v>-2.2488000000000001</v>
      </c>
      <c r="F117" s="6">
        <v>-2.2233000000000001</v>
      </c>
      <c r="G117" s="6">
        <v>92.882999999999996</v>
      </c>
      <c r="H117" s="6">
        <v>27.774000000000001</v>
      </c>
      <c r="I117" s="6">
        <v>63.207000000000001</v>
      </c>
      <c r="J117" s="6">
        <v>636.88</v>
      </c>
      <c r="K117" s="6">
        <v>-1.0619999999999999E-2</v>
      </c>
      <c r="L117" s="6">
        <v>82.061000000000007</v>
      </c>
      <c r="M117" s="6">
        <v>0.10539</v>
      </c>
      <c r="N117" s="6">
        <v>4.6132999999999999E-3</v>
      </c>
      <c r="O117" s="6" t="s">
        <v>17</v>
      </c>
    </row>
    <row r="118" spans="1:18" ht="17" x14ac:dyDescent="0.35">
      <c r="A118" s="9">
        <v>97.436999999999998</v>
      </c>
      <c r="B118" s="11">
        <v>6.4861000000000004</v>
      </c>
      <c r="C118" s="6">
        <v>25.148</v>
      </c>
      <c r="D118" s="6">
        <v>3.9765000000000002E-2</v>
      </c>
      <c r="E118" s="6">
        <v>-2.2414999999999998</v>
      </c>
      <c r="F118" s="6">
        <v>-2.2157</v>
      </c>
      <c r="G118" s="6">
        <v>92.957999999999998</v>
      </c>
      <c r="H118" s="6">
        <v>27.763000000000002</v>
      </c>
      <c r="I118" s="6">
        <v>63.276000000000003</v>
      </c>
      <c r="J118" s="6">
        <v>635.49</v>
      </c>
      <c r="K118" s="6">
        <v>-1.0374E-2</v>
      </c>
      <c r="L118" s="6">
        <v>81.769000000000005</v>
      </c>
      <c r="M118" s="6">
        <v>0.10516</v>
      </c>
      <c r="N118" s="6">
        <v>4.5896000000000001E-3</v>
      </c>
      <c r="O118" s="6" t="s">
        <v>17</v>
      </c>
    </row>
    <row r="119" spans="1:18" ht="17" x14ac:dyDescent="0.35">
      <c r="A119" s="9">
        <v>97.555999999999997</v>
      </c>
      <c r="B119" s="11">
        <v>6.5423999999999998</v>
      </c>
      <c r="C119" s="6">
        <v>25.123000000000001</v>
      </c>
      <c r="D119" s="6">
        <v>3.9802999999999998E-2</v>
      </c>
      <c r="E119" s="6">
        <v>-2.2342</v>
      </c>
      <c r="F119" s="6">
        <v>-2.2081</v>
      </c>
      <c r="G119" s="6">
        <v>93.034000000000006</v>
      </c>
      <c r="H119" s="6">
        <v>27.751999999999999</v>
      </c>
      <c r="I119" s="6">
        <v>63.344999999999999</v>
      </c>
      <c r="J119" s="6">
        <v>634.11</v>
      </c>
      <c r="K119" s="6">
        <v>-1.0128E-2</v>
      </c>
      <c r="L119" s="6">
        <v>81.478999999999999</v>
      </c>
      <c r="M119" s="6">
        <v>0.10492</v>
      </c>
      <c r="N119" s="6">
        <v>4.5659999999999997E-3</v>
      </c>
      <c r="O119" s="6" t="s">
        <v>17</v>
      </c>
      <c r="Q119" s="5" t="s">
        <v>103</v>
      </c>
      <c r="R119" s="5">
        <v>7</v>
      </c>
    </row>
    <row r="120" spans="1:18" ht="17" x14ac:dyDescent="0.35">
      <c r="A120" s="9">
        <v>97.673000000000002</v>
      </c>
      <c r="B120" s="11">
        <v>6.5987</v>
      </c>
      <c r="C120" s="6">
        <v>25.099</v>
      </c>
      <c r="D120" s="6">
        <v>3.9842000000000002E-2</v>
      </c>
      <c r="E120" s="6">
        <v>-2.2269000000000001</v>
      </c>
      <c r="F120" s="6">
        <v>-2.2006000000000001</v>
      </c>
      <c r="G120" s="6">
        <v>93.108000000000004</v>
      </c>
      <c r="H120" s="6">
        <v>27.741</v>
      </c>
      <c r="I120" s="6">
        <v>63.414999999999999</v>
      </c>
      <c r="J120" s="6">
        <v>632.74</v>
      </c>
      <c r="K120" s="6">
        <v>-9.8808000000000003E-3</v>
      </c>
      <c r="L120" s="6">
        <v>81.191999999999993</v>
      </c>
      <c r="M120" s="6">
        <v>0.10469000000000001</v>
      </c>
      <c r="N120" s="6">
        <v>4.5425999999999999E-3</v>
      </c>
      <c r="O120" s="6" t="s">
        <v>17</v>
      </c>
      <c r="Q120" s="5" t="s">
        <v>102</v>
      </c>
      <c r="R120" s="5">
        <f>A127+((R119-B127)*(A128-A127)/(B128-B127))</f>
        <v>98.493522202486673</v>
      </c>
    </row>
    <row r="121" spans="1:18" ht="17" x14ac:dyDescent="0.35">
      <c r="A121" s="9">
        <v>97.790999999999997</v>
      </c>
      <c r="B121" s="11">
        <v>6.6550000000000002</v>
      </c>
      <c r="C121" s="6">
        <v>25.074999999999999</v>
      </c>
      <c r="D121" s="6">
        <v>3.9881E-2</v>
      </c>
      <c r="E121" s="6">
        <v>-2.2197</v>
      </c>
      <c r="F121" s="6">
        <v>-2.1932</v>
      </c>
      <c r="G121" s="6">
        <v>93.182000000000002</v>
      </c>
      <c r="H121" s="6">
        <v>27.731000000000002</v>
      </c>
      <c r="I121" s="6">
        <v>63.484999999999999</v>
      </c>
      <c r="J121" s="6">
        <v>631.37</v>
      </c>
      <c r="K121" s="6">
        <v>-9.6336000000000008E-3</v>
      </c>
      <c r="L121" s="6">
        <v>80.908000000000001</v>
      </c>
      <c r="M121" s="6">
        <v>0.10446</v>
      </c>
      <c r="N121" s="6">
        <v>4.5193000000000004E-3</v>
      </c>
      <c r="O121" s="6" t="s">
        <v>17</v>
      </c>
    </row>
    <row r="122" spans="1:18" ht="17" x14ac:dyDescent="0.35">
      <c r="A122" s="9">
        <v>97.906999999999996</v>
      </c>
      <c r="B122" s="11">
        <v>6.7112999999999996</v>
      </c>
      <c r="C122" s="6">
        <v>25.050999999999998</v>
      </c>
      <c r="D122" s="6">
        <v>3.9919000000000003E-2</v>
      </c>
      <c r="E122" s="6">
        <v>-2.2124999999999999</v>
      </c>
      <c r="F122" s="6">
        <v>-2.1857000000000002</v>
      </c>
      <c r="G122" s="6">
        <v>93.256</v>
      </c>
      <c r="H122" s="6">
        <v>27.72</v>
      </c>
      <c r="I122" s="6">
        <v>63.555</v>
      </c>
      <c r="J122" s="6">
        <v>630.01</v>
      </c>
      <c r="K122" s="6">
        <v>-9.3859000000000008E-3</v>
      </c>
      <c r="L122" s="6">
        <v>80.626999999999995</v>
      </c>
      <c r="M122" s="6">
        <v>0.10423</v>
      </c>
      <c r="N122" s="6">
        <v>4.4962999999999999E-3</v>
      </c>
      <c r="O122" s="6" t="s">
        <v>17</v>
      </c>
      <c r="R122" s="70">
        <f>_xlfn.FORECAST.LINEAR(R119, A126:A131, B126:B131)</f>
        <v>98.493168755814906</v>
      </c>
    </row>
    <row r="123" spans="1:18" ht="17" x14ac:dyDescent="0.35">
      <c r="A123" s="9">
        <v>98.022999999999996</v>
      </c>
      <c r="B123" s="11">
        <v>6.7675999999999998</v>
      </c>
      <c r="C123" s="6">
        <v>25.027000000000001</v>
      </c>
      <c r="D123" s="6">
        <v>3.9956999999999999E-2</v>
      </c>
      <c r="E123" s="6">
        <v>-2.2054</v>
      </c>
      <c r="F123" s="6">
        <v>-2.1783999999999999</v>
      </c>
      <c r="G123" s="6">
        <v>93.328999999999994</v>
      </c>
      <c r="H123" s="6">
        <v>27.71</v>
      </c>
      <c r="I123" s="6">
        <v>63.625</v>
      </c>
      <c r="J123" s="6">
        <v>628.65</v>
      </c>
      <c r="K123" s="6">
        <v>-9.1377999999999997E-3</v>
      </c>
      <c r="L123" s="6">
        <v>80.349000000000004</v>
      </c>
      <c r="M123" s="6">
        <v>0.104</v>
      </c>
      <c r="N123" s="6">
        <v>4.4733000000000004E-3</v>
      </c>
      <c r="O123" s="6" t="s">
        <v>17</v>
      </c>
    </row>
    <row r="124" spans="1:18" ht="17" x14ac:dyDescent="0.35">
      <c r="A124" s="9">
        <v>98.138000000000005</v>
      </c>
      <c r="B124" s="11">
        <v>6.8239000000000001</v>
      </c>
      <c r="C124" s="6">
        <v>25.003</v>
      </c>
      <c r="D124" s="6">
        <v>3.9995999999999997E-2</v>
      </c>
      <c r="E124" s="6">
        <v>-2.1983000000000001</v>
      </c>
      <c r="F124" s="6">
        <v>-2.1709999999999998</v>
      </c>
      <c r="G124" s="6">
        <v>93.402000000000001</v>
      </c>
      <c r="H124" s="6">
        <v>27.699000000000002</v>
      </c>
      <c r="I124" s="6">
        <v>63.695999999999998</v>
      </c>
      <c r="J124" s="6">
        <v>627.30999999999995</v>
      </c>
      <c r="K124" s="6">
        <v>-8.8891000000000005E-3</v>
      </c>
      <c r="L124" s="6">
        <v>80.072999999999993</v>
      </c>
      <c r="M124" s="6">
        <v>0.10378</v>
      </c>
      <c r="N124" s="6">
        <v>4.4505999999999999E-3</v>
      </c>
      <c r="O124" s="6" t="s">
        <v>17</v>
      </c>
    </row>
    <row r="125" spans="1:18" ht="17" x14ac:dyDescent="0.35">
      <c r="A125" s="9">
        <v>98.251999999999995</v>
      </c>
      <c r="B125" s="11">
        <v>6.8802000000000003</v>
      </c>
      <c r="C125" s="6">
        <v>24.978999999999999</v>
      </c>
      <c r="D125" s="6">
        <v>4.0034E-2</v>
      </c>
      <c r="E125" s="6">
        <v>-2.1911999999999998</v>
      </c>
      <c r="F125" s="6">
        <v>-2.1637</v>
      </c>
      <c r="G125" s="6">
        <v>93.474000000000004</v>
      </c>
      <c r="H125" s="6">
        <v>27.689</v>
      </c>
      <c r="I125" s="6">
        <v>63.767000000000003</v>
      </c>
      <c r="J125" s="6">
        <v>625.96</v>
      </c>
      <c r="K125" s="6">
        <v>-8.6400000000000001E-3</v>
      </c>
      <c r="L125" s="6">
        <v>79.801000000000002</v>
      </c>
      <c r="M125" s="6">
        <v>0.10355</v>
      </c>
      <c r="N125" s="6">
        <v>4.4279999999999996E-3</v>
      </c>
      <c r="O125" s="6" t="s">
        <v>17</v>
      </c>
    </row>
    <row r="126" spans="1:18" ht="17" x14ac:dyDescent="0.35">
      <c r="A126" s="9">
        <v>98.366</v>
      </c>
      <c r="B126" s="11">
        <v>6.9363999999999999</v>
      </c>
      <c r="C126" s="6">
        <v>24.954999999999998</v>
      </c>
      <c r="D126" s="6">
        <v>4.0072000000000003E-2</v>
      </c>
      <c r="E126" s="6">
        <v>-2.1842000000000001</v>
      </c>
      <c r="F126" s="6">
        <v>-2.1564000000000001</v>
      </c>
      <c r="G126" s="6">
        <v>93.546000000000006</v>
      </c>
      <c r="H126" s="6">
        <v>27.678999999999998</v>
      </c>
      <c r="I126" s="6">
        <v>63.838000000000001</v>
      </c>
      <c r="J126" s="6">
        <v>624.63</v>
      </c>
      <c r="K126" s="6">
        <v>-8.3903999999999992E-3</v>
      </c>
      <c r="L126" s="6">
        <v>79.531000000000006</v>
      </c>
      <c r="M126" s="6">
        <v>0.10333000000000001</v>
      </c>
      <c r="N126" s="6">
        <v>4.4056E-3</v>
      </c>
      <c r="O126" s="6" t="s">
        <v>17</v>
      </c>
    </row>
    <row r="127" spans="1:18" ht="17" x14ac:dyDescent="0.35">
      <c r="A127" s="9">
        <v>98.478999999999999</v>
      </c>
      <c r="B127" s="11">
        <v>6.9927000000000001</v>
      </c>
      <c r="C127" s="6">
        <v>24.931000000000001</v>
      </c>
      <c r="D127" s="6">
        <v>4.011E-2</v>
      </c>
      <c r="E127" s="6">
        <v>-2.1772</v>
      </c>
      <c r="F127" s="6">
        <v>-2.1490999999999998</v>
      </c>
      <c r="G127" s="6">
        <v>93.617000000000004</v>
      </c>
      <c r="H127" s="6">
        <v>27.669</v>
      </c>
      <c r="I127" s="6">
        <v>63.908999999999999</v>
      </c>
      <c r="J127" s="6">
        <v>623.29999999999995</v>
      </c>
      <c r="K127" s="6">
        <v>-8.1402999999999996E-3</v>
      </c>
      <c r="L127" s="6">
        <v>79.263000000000005</v>
      </c>
      <c r="M127" s="6">
        <v>0.10310999999999999</v>
      </c>
      <c r="N127" s="6">
        <v>4.3832999999999997E-3</v>
      </c>
      <c r="O127" s="6" t="s">
        <v>17</v>
      </c>
    </row>
    <row r="128" spans="1:18" ht="17" x14ac:dyDescent="0.35">
      <c r="A128" s="9">
        <v>98.590999999999994</v>
      </c>
      <c r="B128" s="11">
        <v>7.0490000000000004</v>
      </c>
      <c r="C128" s="6">
        <v>24.908000000000001</v>
      </c>
      <c r="D128" s="6">
        <v>4.0148000000000003E-2</v>
      </c>
      <c r="E128" s="6">
        <v>-2.1701999999999999</v>
      </c>
      <c r="F128" s="6">
        <v>-2.1419000000000001</v>
      </c>
      <c r="G128" s="6">
        <v>93.688000000000002</v>
      </c>
      <c r="H128" s="6">
        <v>27.658999999999999</v>
      </c>
      <c r="I128" s="6">
        <v>63.98</v>
      </c>
      <c r="J128" s="6">
        <v>621.97</v>
      </c>
      <c r="K128" s="6">
        <v>-7.8896999999999995E-3</v>
      </c>
      <c r="L128" s="6">
        <v>78.998000000000005</v>
      </c>
      <c r="M128" s="6">
        <v>0.10288</v>
      </c>
      <c r="N128" s="6">
        <v>4.3610999999999997E-3</v>
      </c>
      <c r="O128" s="6" t="s">
        <v>17</v>
      </c>
    </row>
    <row r="129" spans="1:15" ht="17" x14ac:dyDescent="0.35">
      <c r="A129" s="9">
        <v>98.703000000000003</v>
      </c>
      <c r="B129" s="11">
        <v>7.1052999999999997</v>
      </c>
      <c r="C129" s="6">
        <v>24.884</v>
      </c>
      <c r="D129" s="6">
        <v>4.0185999999999999E-2</v>
      </c>
      <c r="E129" s="6">
        <v>-2.1633</v>
      </c>
      <c r="F129" s="6">
        <v>-2.1347</v>
      </c>
      <c r="G129" s="6">
        <v>93.759</v>
      </c>
      <c r="H129" s="6">
        <v>27.65</v>
      </c>
      <c r="I129" s="6">
        <v>64.052000000000007</v>
      </c>
      <c r="J129" s="6">
        <v>620.66</v>
      </c>
      <c r="K129" s="6">
        <v>-7.6385999999999997E-3</v>
      </c>
      <c r="L129" s="6">
        <v>78.736000000000004</v>
      </c>
      <c r="M129" s="6">
        <v>0.10266</v>
      </c>
      <c r="N129" s="6">
        <v>4.3391999999999997E-3</v>
      </c>
      <c r="O129" s="6" t="s">
        <v>17</v>
      </c>
    </row>
    <row r="130" spans="1:15" ht="17" x14ac:dyDescent="0.35">
      <c r="A130" s="9">
        <v>98.813999999999993</v>
      </c>
      <c r="B130" s="11">
        <v>7.1616</v>
      </c>
      <c r="C130" s="6">
        <v>24.861000000000001</v>
      </c>
      <c r="D130" s="6">
        <v>4.0224000000000003E-2</v>
      </c>
      <c r="E130" s="6">
        <v>-2.1564000000000001</v>
      </c>
      <c r="F130" s="6">
        <v>-2.1276000000000002</v>
      </c>
      <c r="G130" s="6">
        <v>93.828999999999994</v>
      </c>
      <c r="H130" s="6">
        <v>27.64</v>
      </c>
      <c r="I130" s="6">
        <v>64.123999999999995</v>
      </c>
      <c r="J130" s="6">
        <v>619.34</v>
      </c>
      <c r="K130" s="6">
        <v>-7.3869000000000001E-3</v>
      </c>
      <c r="L130" s="6">
        <v>78.475999999999999</v>
      </c>
      <c r="M130" s="6">
        <v>0.10245</v>
      </c>
      <c r="N130" s="6">
        <v>4.3172999999999996E-3</v>
      </c>
      <c r="O130" s="6" t="s">
        <v>17</v>
      </c>
    </row>
    <row r="131" spans="1:15" ht="17" x14ac:dyDescent="0.35">
      <c r="A131" s="9">
        <v>98.924999999999997</v>
      </c>
      <c r="B131" s="11">
        <v>7.2179000000000002</v>
      </c>
      <c r="C131" s="6">
        <v>24.838000000000001</v>
      </c>
      <c r="D131" s="6">
        <v>4.0261999999999999E-2</v>
      </c>
      <c r="E131" s="6">
        <v>-2.1495000000000002</v>
      </c>
      <c r="F131" s="6">
        <v>-2.1204999999999998</v>
      </c>
      <c r="G131" s="6">
        <v>93.897999999999996</v>
      </c>
      <c r="H131" s="6">
        <v>27.631</v>
      </c>
      <c r="I131" s="6">
        <v>64.195999999999998</v>
      </c>
      <c r="J131" s="6">
        <v>618.04</v>
      </c>
      <c r="K131" s="6">
        <v>-7.1348000000000002E-3</v>
      </c>
      <c r="L131" s="6">
        <v>78.218000000000004</v>
      </c>
      <c r="M131" s="6">
        <v>0.10223</v>
      </c>
      <c r="N131" s="6">
        <v>4.2956000000000001E-3</v>
      </c>
      <c r="O131" s="6" t="s">
        <v>17</v>
      </c>
    </row>
    <row r="132" spans="1:15" ht="17" x14ac:dyDescent="0.35">
      <c r="A132" s="9">
        <v>99.034000000000006</v>
      </c>
      <c r="B132" s="11">
        <v>7.2742000000000004</v>
      </c>
      <c r="C132" s="6">
        <v>24.814</v>
      </c>
      <c r="D132" s="6">
        <v>4.0299000000000001E-2</v>
      </c>
      <c r="E132" s="6">
        <v>-2.1427</v>
      </c>
      <c r="F132" s="6">
        <v>-2.1133999999999999</v>
      </c>
      <c r="G132" s="6">
        <v>93.968000000000004</v>
      </c>
      <c r="H132" s="6">
        <v>27.620999999999999</v>
      </c>
      <c r="I132" s="6">
        <v>64.269000000000005</v>
      </c>
      <c r="J132" s="6">
        <v>616.74</v>
      </c>
      <c r="K132" s="6">
        <v>-6.8821000000000004E-3</v>
      </c>
      <c r="L132" s="6">
        <v>77.962999999999994</v>
      </c>
      <c r="M132" s="6">
        <v>0.10201</v>
      </c>
      <c r="N132" s="6">
        <v>4.2741000000000003E-3</v>
      </c>
      <c r="O132" s="6" t="s">
        <v>17</v>
      </c>
    </row>
    <row r="133" spans="1:15" ht="17" x14ac:dyDescent="0.35">
      <c r="A133" s="9">
        <v>99.144000000000005</v>
      </c>
      <c r="B133" s="11">
        <v>7.3304999999999998</v>
      </c>
      <c r="C133" s="6">
        <v>24.791</v>
      </c>
      <c r="D133" s="6">
        <v>4.0336999999999998E-2</v>
      </c>
      <c r="E133" s="6">
        <v>-2.1358999999999999</v>
      </c>
      <c r="F133" s="6">
        <v>-2.1063999999999998</v>
      </c>
      <c r="G133" s="6">
        <v>94.036000000000001</v>
      </c>
      <c r="H133" s="6">
        <v>27.611999999999998</v>
      </c>
      <c r="I133" s="6">
        <v>64.340999999999994</v>
      </c>
      <c r="J133" s="6">
        <v>615.44000000000005</v>
      </c>
      <c r="K133" s="6">
        <v>-6.6289000000000001E-3</v>
      </c>
      <c r="L133" s="6">
        <v>77.709999999999994</v>
      </c>
      <c r="M133" s="6">
        <v>0.1018</v>
      </c>
      <c r="N133" s="6">
        <v>4.2526999999999999E-3</v>
      </c>
      <c r="O133" s="6" t="s">
        <v>17</v>
      </c>
    </row>
    <row r="134" spans="1:15" ht="17" x14ac:dyDescent="0.35">
      <c r="A134" s="9">
        <v>99.251999999999995</v>
      </c>
      <c r="B134" s="11">
        <v>7.3868</v>
      </c>
      <c r="C134" s="6">
        <v>24.768000000000001</v>
      </c>
      <c r="D134" s="6">
        <v>4.0375000000000001E-2</v>
      </c>
      <c r="E134" s="6">
        <v>-2.1292</v>
      </c>
      <c r="F134" s="6">
        <v>-2.0992999999999999</v>
      </c>
      <c r="G134" s="6">
        <v>94.105000000000004</v>
      </c>
      <c r="H134" s="6">
        <v>27.603000000000002</v>
      </c>
      <c r="I134" s="6">
        <v>64.414000000000001</v>
      </c>
      <c r="J134" s="6">
        <v>614.15</v>
      </c>
      <c r="K134" s="6">
        <v>-6.3750999999999999E-3</v>
      </c>
      <c r="L134" s="6">
        <v>77.459000000000003</v>
      </c>
      <c r="M134" s="6">
        <v>0.10158</v>
      </c>
      <c r="N134" s="6">
        <v>4.2313999999999997E-3</v>
      </c>
      <c r="O134" s="6" t="s">
        <v>17</v>
      </c>
    </row>
    <row r="135" spans="1:15" ht="17" x14ac:dyDescent="0.35">
      <c r="A135" s="9">
        <v>99.36</v>
      </c>
      <c r="B135" s="11">
        <v>7.4431000000000003</v>
      </c>
      <c r="C135" s="6">
        <v>24.745000000000001</v>
      </c>
      <c r="D135" s="6">
        <v>4.0411999999999997E-2</v>
      </c>
      <c r="E135" s="6">
        <v>-2.1223999999999998</v>
      </c>
      <c r="F135" s="6">
        <v>-2.0924</v>
      </c>
      <c r="G135" s="6">
        <v>94.173000000000002</v>
      </c>
      <c r="H135" s="6">
        <v>27.594000000000001</v>
      </c>
      <c r="I135" s="6">
        <v>64.488</v>
      </c>
      <c r="J135" s="6">
        <v>612.87</v>
      </c>
      <c r="K135" s="6">
        <v>-6.1208E-3</v>
      </c>
      <c r="L135" s="6">
        <v>77.210999999999999</v>
      </c>
      <c r="M135" s="6">
        <v>0.10137</v>
      </c>
      <c r="N135" s="6">
        <v>4.2103000000000002E-3</v>
      </c>
      <c r="O135" s="6" t="s">
        <v>17</v>
      </c>
    </row>
    <row r="136" spans="1:15" ht="17" x14ac:dyDescent="0.35">
      <c r="A136" s="9">
        <v>99.468000000000004</v>
      </c>
      <c r="B136" s="11">
        <v>7.4993999999999996</v>
      </c>
      <c r="C136" s="6">
        <v>24.722000000000001</v>
      </c>
      <c r="D136" s="6">
        <v>4.045E-2</v>
      </c>
      <c r="E136" s="6">
        <v>-2.1156999999999999</v>
      </c>
      <c r="F136" s="6">
        <v>-2.0853999999999999</v>
      </c>
      <c r="G136" s="6">
        <v>94.241</v>
      </c>
      <c r="H136" s="6">
        <v>27.585000000000001</v>
      </c>
      <c r="I136" s="6">
        <v>64.561000000000007</v>
      </c>
      <c r="J136" s="6">
        <v>611.59</v>
      </c>
      <c r="K136" s="6">
        <v>-5.8659000000000003E-3</v>
      </c>
      <c r="L136" s="6">
        <v>76.965000000000003</v>
      </c>
      <c r="M136" s="6">
        <v>0.10116</v>
      </c>
      <c r="N136" s="6">
        <v>4.1893E-3</v>
      </c>
      <c r="O136" s="6" t="s">
        <v>17</v>
      </c>
    </row>
    <row r="137" spans="1:15" ht="17" x14ac:dyDescent="0.35">
      <c r="A137" s="9">
        <v>99.575000000000003</v>
      </c>
      <c r="B137" s="11">
        <v>7.5556999999999999</v>
      </c>
      <c r="C137" s="6">
        <v>24.699000000000002</v>
      </c>
      <c r="D137" s="6">
        <v>4.0487000000000002E-2</v>
      </c>
      <c r="E137" s="6">
        <v>-2.1091000000000002</v>
      </c>
      <c r="F137" s="6">
        <v>-2.0785</v>
      </c>
      <c r="G137" s="6">
        <v>94.308000000000007</v>
      </c>
      <c r="H137" s="6">
        <v>27.576000000000001</v>
      </c>
      <c r="I137" s="6">
        <v>64.635000000000005</v>
      </c>
      <c r="J137" s="6">
        <v>610.32000000000005</v>
      </c>
      <c r="K137" s="6">
        <v>-5.6105E-3</v>
      </c>
      <c r="L137" s="6">
        <v>76.721000000000004</v>
      </c>
      <c r="M137" s="6">
        <v>0.10095</v>
      </c>
      <c r="N137" s="6">
        <v>4.1684000000000001E-3</v>
      </c>
      <c r="O137" s="6" t="s">
        <v>17</v>
      </c>
    </row>
    <row r="138" spans="1:15" ht="17" x14ac:dyDescent="0.35">
      <c r="A138" s="9">
        <v>99.680999999999997</v>
      </c>
      <c r="B138" s="11">
        <v>7.6119000000000003</v>
      </c>
      <c r="C138" s="6">
        <v>24.677</v>
      </c>
      <c r="D138" s="6">
        <v>4.0523999999999998E-2</v>
      </c>
      <c r="E138" s="6">
        <v>-2.1023999999999998</v>
      </c>
      <c r="F138" s="6">
        <v>-2.0716000000000001</v>
      </c>
      <c r="G138" s="6">
        <v>94.375</v>
      </c>
      <c r="H138" s="6">
        <v>27.567</v>
      </c>
      <c r="I138" s="6">
        <v>64.709000000000003</v>
      </c>
      <c r="J138" s="6">
        <v>609.04999999999995</v>
      </c>
      <c r="K138" s="6">
        <v>-5.3544999999999999E-3</v>
      </c>
      <c r="L138" s="6">
        <v>76.478999999999999</v>
      </c>
      <c r="M138" s="6">
        <v>0.10074</v>
      </c>
      <c r="N138" s="6">
        <v>4.1476999999999998E-3</v>
      </c>
      <c r="O138" s="6" t="s">
        <v>17</v>
      </c>
    </row>
    <row r="139" spans="1:15" ht="17" x14ac:dyDescent="0.35">
      <c r="A139" s="9">
        <v>99.787000000000006</v>
      </c>
      <c r="B139" s="11">
        <v>7.6681999999999997</v>
      </c>
      <c r="C139" s="6">
        <v>24.654</v>
      </c>
      <c r="D139" s="6">
        <v>4.0562000000000001E-2</v>
      </c>
      <c r="E139" s="6">
        <v>-2.0958000000000001</v>
      </c>
      <c r="F139" s="6">
        <v>-2.0647000000000002</v>
      </c>
      <c r="G139" s="6">
        <v>94.441000000000003</v>
      </c>
      <c r="H139" s="6">
        <v>27.559000000000001</v>
      </c>
      <c r="I139" s="6">
        <v>64.783000000000001</v>
      </c>
      <c r="J139" s="6">
        <v>607.78</v>
      </c>
      <c r="K139" s="6">
        <v>-5.0980000000000001E-3</v>
      </c>
      <c r="L139" s="6">
        <v>76.239000000000004</v>
      </c>
      <c r="M139" s="6">
        <v>0.10052999999999999</v>
      </c>
      <c r="N139" s="6">
        <v>4.1270999999999999E-3</v>
      </c>
      <c r="O139" s="6" t="s">
        <v>17</v>
      </c>
    </row>
    <row r="140" spans="1:15" ht="17" x14ac:dyDescent="0.35">
      <c r="A140" s="9">
        <v>99.891999999999996</v>
      </c>
      <c r="B140" s="11">
        <v>7.7244999999999999</v>
      </c>
      <c r="C140" s="6">
        <v>24.631</v>
      </c>
      <c r="D140" s="6">
        <v>4.0599000000000003E-2</v>
      </c>
      <c r="E140" s="6">
        <v>-2.0891999999999999</v>
      </c>
      <c r="F140" s="6">
        <v>-2.0579000000000001</v>
      </c>
      <c r="G140" s="6">
        <v>94.507999999999996</v>
      </c>
      <c r="H140" s="6">
        <v>27.55</v>
      </c>
      <c r="I140" s="6">
        <v>64.856999999999999</v>
      </c>
      <c r="J140" s="6">
        <v>606.53</v>
      </c>
      <c r="K140" s="6">
        <v>-4.8408000000000001E-3</v>
      </c>
      <c r="L140" s="6">
        <v>76.001000000000005</v>
      </c>
      <c r="M140" s="6">
        <v>0.10032000000000001</v>
      </c>
      <c r="N140" s="6">
        <v>4.1066000000000002E-3</v>
      </c>
      <c r="O140" s="6" t="s">
        <v>17</v>
      </c>
    </row>
    <row r="141" spans="1:15" ht="17" x14ac:dyDescent="0.35">
      <c r="A141" s="9">
        <v>99.995999999999995</v>
      </c>
      <c r="B141" s="11">
        <v>7.7808000000000002</v>
      </c>
      <c r="C141" s="6">
        <v>24.609000000000002</v>
      </c>
      <c r="D141" s="6">
        <v>4.0635999999999999E-2</v>
      </c>
      <c r="E141" s="6">
        <v>-2.0827</v>
      </c>
      <c r="F141" s="6">
        <v>-2.0510999999999999</v>
      </c>
      <c r="G141" s="6">
        <v>94.572999999999993</v>
      </c>
      <c r="H141" s="6">
        <v>27.542000000000002</v>
      </c>
      <c r="I141" s="6">
        <v>64.932000000000002</v>
      </c>
      <c r="J141" s="6">
        <v>605.27</v>
      </c>
      <c r="K141" s="6">
        <v>-4.5830999999999997E-3</v>
      </c>
      <c r="L141" s="6">
        <v>75.766000000000005</v>
      </c>
      <c r="M141" s="6">
        <v>0.10012</v>
      </c>
      <c r="N141" s="6">
        <v>4.0861999999999999E-3</v>
      </c>
      <c r="O141" s="6" t="s">
        <v>17</v>
      </c>
    </row>
    <row r="142" spans="1:15" ht="17" x14ac:dyDescent="0.35">
      <c r="A142" s="9">
        <v>100.1</v>
      </c>
      <c r="B142" s="11">
        <v>7.8371000000000004</v>
      </c>
      <c r="C142" s="6">
        <v>24.585999999999999</v>
      </c>
      <c r="D142" s="6">
        <v>4.0673000000000001E-2</v>
      </c>
      <c r="E142" s="6">
        <v>-2.0762</v>
      </c>
      <c r="F142" s="6">
        <v>-2.0442999999999998</v>
      </c>
      <c r="G142" s="6">
        <v>94.638999999999996</v>
      </c>
      <c r="H142" s="6">
        <v>27.533999999999999</v>
      </c>
      <c r="I142" s="6">
        <v>65.007000000000005</v>
      </c>
      <c r="J142" s="6">
        <v>604.02</v>
      </c>
      <c r="K142" s="6">
        <v>-4.3248000000000002E-3</v>
      </c>
      <c r="L142" s="6">
        <v>75.531999999999996</v>
      </c>
      <c r="M142" s="6">
        <v>9.9914000000000003E-2</v>
      </c>
      <c r="N142" s="6">
        <v>4.0660000000000002E-3</v>
      </c>
      <c r="O142" s="6" t="s">
        <v>17</v>
      </c>
    </row>
    <row r="143" spans="1:15" ht="17" x14ac:dyDescent="0.35">
      <c r="A143" s="9">
        <v>100.2</v>
      </c>
      <c r="B143" s="11">
        <v>7.8933999999999997</v>
      </c>
      <c r="C143" s="6">
        <v>24.564</v>
      </c>
      <c r="D143" s="6">
        <v>4.0710000000000003E-2</v>
      </c>
      <c r="E143" s="6">
        <v>-2.0697000000000001</v>
      </c>
      <c r="F143" s="6">
        <v>-2.0375000000000001</v>
      </c>
      <c r="G143" s="6">
        <v>94.703999999999994</v>
      </c>
      <c r="H143" s="6">
        <v>27.524999999999999</v>
      </c>
      <c r="I143" s="6">
        <v>65.081999999999994</v>
      </c>
      <c r="J143" s="6">
        <v>602.78</v>
      </c>
      <c r="K143" s="6">
        <v>-4.0660000000000002E-3</v>
      </c>
      <c r="L143" s="6">
        <v>75.3</v>
      </c>
      <c r="M143" s="6">
        <v>9.9709999999999993E-2</v>
      </c>
      <c r="N143" s="6">
        <v>4.0458999999999998E-3</v>
      </c>
      <c r="O143" s="6" t="s">
        <v>17</v>
      </c>
    </row>
    <row r="144" spans="1:15" ht="17" x14ac:dyDescent="0.35">
      <c r="A144" s="9">
        <v>100.31</v>
      </c>
      <c r="B144" s="11">
        <v>7.9497</v>
      </c>
      <c r="C144" s="6">
        <v>24.541</v>
      </c>
      <c r="D144" s="6">
        <v>4.0746999999999998E-2</v>
      </c>
      <c r="E144" s="6">
        <v>-2.0632000000000001</v>
      </c>
      <c r="F144" s="6">
        <v>-2.0308000000000002</v>
      </c>
      <c r="G144" s="6">
        <v>94.769000000000005</v>
      </c>
      <c r="H144" s="6">
        <v>27.516999999999999</v>
      </c>
      <c r="I144" s="6">
        <v>65.158000000000001</v>
      </c>
      <c r="J144" s="6">
        <v>601.54</v>
      </c>
      <c r="K144" s="6">
        <v>-3.8065E-3</v>
      </c>
      <c r="L144" s="6">
        <v>75.069999999999993</v>
      </c>
      <c r="M144" s="6">
        <v>9.9506999999999998E-2</v>
      </c>
      <c r="N144" s="6">
        <v>4.0260000000000001E-3</v>
      </c>
      <c r="O144" s="6" t="s">
        <v>17</v>
      </c>
    </row>
    <row r="145" spans="1:15" ht="17" x14ac:dyDescent="0.35">
      <c r="A145" s="9">
        <v>100.41</v>
      </c>
      <c r="B145" s="11">
        <v>8.0060000000000002</v>
      </c>
      <c r="C145" s="6">
        <v>24.518999999999998</v>
      </c>
      <c r="D145" s="6">
        <v>4.0784000000000001E-2</v>
      </c>
      <c r="E145" s="6">
        <v>-2.0568</v>
      </c>
      <c r="F145" s="6">
        <v>-2.0240999999999998</v>
      </c>
      <c r="G145" s="6">
        <v>94.832999999999998</v>
      </c>
      <c r="H145" s="6">
        <v>27.509</v>
      </c>
      <c r="I145" s="6">
        <v>65.233999999999995</v>
      </c>
      <c r="J145" s="6">
        <v>600.30999999999995</v>
      </c>
      <c r="K145" s="6">
        <v>-3.5463999999999999E-3</v>
      </c>
      <c r="L145" s="6">
        <v>74.841999999999999</v>
      </c>
      <c r="M145" s="6">
        <v>9.9306000000000005E-2</v>
      </c>
      <c r="N145" s="6">
        <v>4.0061000000000003E-3</v>
      </c>
      <c r="O145" s="6" t="s">
        <v>17</v>
      </c>
    </row>
    <row r="146" spans="1:15" ht="17" x14ac:dyDescent="0.35">
      <c r="A146" s="9">
        <v>100.51</v>
      </c>
      <c r="B146" s="11">
        <v>8.0623000000000005</v>
      </c>
      <c r="C146" s="6">
        <v>24.497</v>
      </c>
      <c r="D146" s="6">
        <v>4.0821000000000003E-2</v>
      </c>
      <c r="E146" s="6">
        <v>-2.0503999999999998</v>
      </c>
      <c r="F146" s="6">
        <v>-2.0175000000000001</v>
      </c>
      <c r="G146" s="6">
        <v>94.897000000000006</v>
      </c>
      <c r="H146" s="6">
        <v>27.501000000000001</v>
      </c>
      <c r="I146" s="6">
        <v>65.31</v>
      </c>
      <c r="J146" s="6">
        <v>599.08000000000004</v>
      </c>
      <c r="K146" s="6">
        <v>-3.2856999999999999E-3</v>
      </c>
      <c r="L146" s="6">
        <v>74.616</v>
      </c>
      <c r="M146" s="6">
        <v>9.9104999999999999E-2</v>
      </c>
      <c r="N146" s="6">
        <v>3.9864000000000002E-3</v>
      </c>
      <c r="O146" s="6" t="s">
        <v>17</v>
      </c>
    </row>
    <row r="147" spans="1:15" ht="17" x14ac:dyDescent="0.35">
      <c r="A147" s="9">
        <v>100.61</v>
      </c>
      <c r="B147" s="11">
        <v>8.1186000000000007</v>
      </c>
      <c r="C147" s="6">
        <v>24.475000000000001</v>
      </c>
      <c r="D147" s="6">
        <v>4.0857999999999998E-2</v>
      </c>
      <c r="E147" s="6">
        <v>-2.044</v>
      </c>
      <c r="F147" s="6">
        <v>-2.0108000000000001</v>
      </c>
      <c r="G147" s="6">
        <v>94.960999999999999</v>
      </c>
      <c r="H147" s="6">
        <v>27.494</v>
      </c>
      <c r="I147" s="6">
        <v>65.385999999999996</v>
      </c>
      <c r="J147" s="6">
        <v>597.85</v>
      </c>
      <c r="K147" s="6">
        <v>-3.0244E-3</v>
      </c>
      <c r="L147" s="6">
        <v>74.391999999999996</v>
      </c>
      <c r="M147" s="6">
        <v>9.8905000000000007E-2</v>
      </c>
      <c r="N147" s="6">
        <v>3.9668000000000004E-3</v>
      </c>
      <c r="O147" s="6" t="s">
        <v>17</v>
      </c>
    </row>
    <row r="148" spans="1:15" ht="17" x14ac:dyDescent="0.35">
      <c r="A148" s="9">
        <v>100.71</v>
      </c>
      <c r="B148" s="11">
        <v>8.1748999999999992</v>
      </c>
      <c r="C148" s="6">
        <v>24.452999999999999</v>
      </c>
      <c r="D148" s="6">
        <v>4.0895000000000001E-2</v>
      </c>
      <c r="E148" s="6">
        <v>-2.0375999999999999</v>
      </c>
      <c r="F148" s="6">
        <v>-2.0042</v>
      </c>
      <c r="G148" s="6">
        <v>95.024000000000001</v>
      </c>
      <c r="H148" s="6">
        <v>27.486000000000001</v>
      </c>
      <c r="I148" s="6">
        <v>65.462999999999994</v>
      </c>
      <c r="J148" s="6">
        <v>596.63</v>
      </c>
      <c r="K148" s="6">
        <v>-2.7625000000000002E-3</v>
      </c>
      <c r="L148" s="6">
        <v>74.17</v>
      </c>
      <c r="M148" s="6">
        <v>9.8707000000000003E-2</v>
      </c>
      <c r="N148" s="6">
        <v>3.9472999999999999E-3</v>
      </c>
      <c r="O148" s="6" t="s">
        <v>17</v>
      </c>
    </row>
    <row r="149" spans="1:15" ht="17" x14ac:dyDescent="0.35">
      <c r="A149" s="9">
        <v>100.81</v>
      </c>
      <c r="B149" s="11">
        <v>8.2311999999999994</v>
      </c>
      <c r="C149" s="6">
        <v>24.431000000000001</v>
      </c>
      <c r="D149" s="6">
        <v>4.0932000000000003E-2</v>
      </c>
      <c r="E149" s="6">
        <v>-2.0312999999999999</v>
      </c>
      <c r="F149" s="6">
        <v>-1.9976</v>
      </c>
      <c r="G149" s="6">
        <v>95.087999999999994</v>
      </c>
      <c r="H149" s="6">
        <v>27.478000000000002</v>
      </c>
      <c r="I149" s="6">
        <v>65.540000000000006</v>
      </c>
      <c r="J149" s="6">
        <v>595.41999999999996</v>
      </c>
      <c r="K149" s="6">
        <v>-2.4999000000000002E-3</v>
      </c>
      <c r="L149" s="6">
        <v>73.948999999999998</v>
      </c>
      <c r="M149" s="6">
        <v>9.8508999999999999E-2</v>
      </c>
      <c r="N149" s="6">
        <v>3.9278999999999998E-3</v>
      </c>
      <c r="O149" s="6" t="s">
        <v>17</v>
      </c>
    </row>
    <row r="150" spans="1:15" ht="17" x14ac:dyDescent="0.35">
      <c r="A150" s="9">
        <v>100.91</v>
      </c>
      <c r="B150" s="11">
        <v>8.2873999999999999</v>
      </c>
      <c r="C150" s="6">
        <v>24.408999999999999</v>
      </c>
      <c r="D150" s="6">
        <v>4.0968999999999998E-2</v>
      </c>
      <c r="E150" s="6">
        <v>-2.0249999999999999</v>
      </c>
      <c r="F150" s="6">
        <v>-1.9910000000000001</v>
      </c>
      <c r="G150" s="6">
        <v>95.15</v>
      </c>
      <c r="H150" s="6">
        <v>27.471</v>
      </c>
      <c r="I150" s="6">
        <v>65.617000000000004</v>
      </c>
      <c r="J150" s="6">
        <v>594.21</v>
      </c>
      <c r="K150" s="6">
        <v>-2.2366999999999999E-3</v>
      </c>
      <c r="L150" s="6">
        <v>73.73</v>
      </c>
      <c r="M150" s="6">
        <v>9.8311999999999997E-2</v>
      </c>
      <c r="N150" s="6">
        <v>3.9085999999999999E-3</v>
      </c>
      <c r="O150" s="6" t="s">
        <v>17</v>
      </c>
    </row>
    <row r="151" spans="1:15" ht="17" x14ac:dyDescent="0.35">
      <c r="A151" s="9">
        <v>101.01</v>
      </c>
      <c r="B151" s="11">
        <v>8.3437000000000001</v>
      </c>
      <c r="C151" s="6">
        <v>24.387</v>
      </c>
      <c r="D151" s="6">
        <v>4.1005E-2</v>
      </c>
      <c r="E151" s="6">
        <v>-2.0186999999999999</v>
      </c>
      <c r="F151" s="6">
        <v>-1.9844999999999999</v>
      </c>
      <c r="G151" s="6">
        <v>95.212999999999994</v>
      </c>
      <c r="H151" s="6">
        <v>27.463000000000001</v>
      </c>
      <c r="I151" s="6">
        <v>65.694999999999993</v>
      </c>
      <c r="J151" s="6">
        <v>593</v>
      </c>
      <c r="K151" s="6">
        <v>-1.9729000000000001E-3</v>
      </c>
      <c r="L151" s="6">
        <v>73.513000000000005</v>
      </c>
      <c r="M151" s="6">
        <v>9.8115999999999995E-2</v>
      </c>
      <c r="N151" s="6">
        <v>3.8893999999999999E-3</v>
      </c>
      <c r="O151" s="6" t="s">
        <v>17</v>
      </c>
    </row>
    <row r="152" spans="1:15" ht="17" x14ac:dyDescent="0.35">
      <c r="A152" s="9">
        <v>101.11</v>
      </c>
      <c r="B152" s="11">
        <v>8.4</v>
      </c>
      <c r="C152" s="6">
        <v>24.364999999999998</v>
      </c>
      <c r="D152" s="6">
        <v>4.1042000000000002E-2</v>
      </c>
      <c r="E152" s="6">
        <v>-2.0125000000000002</v>
      </c>
      <c r="F152" s="6">
        <v>-1.978</v>
      </c>
      <c r="G152" s="6">
        <v>95.275000000000006</v>
      </c>
      <c r="H152" s="6">
        <v>27.456</v>
      </c>
      <c r="I152" s="6">
        <v>65.772000000000006</v>
      </c>
      <c r="J152" s="6">
        <v>591.79999999999995</v>
      </c>
      <c r="K152" s="6">
        <v>-1.7084999999999999E-3</v>
      </c>
      <c r="L152" s="6">
        <v>73.298000000000002</v>
      </c>
      <c r="M152" s="6">
        <v>9.7920999999999994E-2</v>
      </c>
      <c r="N152" s="6">
        <v>3.8704E-3</v>
      </c>
      <c r="O152" s="6" t="s">
        <v>17</v>
      </c>
    </row>
    <row r="153" spans="1:15" ht="17" x14ac:dyDescent="0.35">
      <c r="A153" s="9">
        <v>101.21</v>
      </c>
      <c r="B153" s="11">
        <v>8.4563000000000006</v>
      </c>
      <c r="C153" s="6">
        <v>24.343</v>
      </c>
      <c r="D153" s="6">
        <v>4.1078999999999997E-2</v>
      </c>
      <c r="E153" s="6">
        <v>-2.0062000000000002</v>
      </c>
      <c r="F153" s="6">
        <v>-1.9715</v>
      </c>
      <c r="G153" s="6">
        <v>95.337000000000003</v>
      </c>
      <c r="H153" s="6">
        <v>27.449000000000002</v>
      </c>
      <c r="I153" s="6">
        <v>65.849999999999994</v>
      </c>
      <c r="J153" s="6">
        <v>590.6</v>
      </c>
      <c r="K153" s="6">
        <v>-1.4433E-3</v>
      </c>
      <c r="L153" s="6">
        <v>73.084000000000003</v>
      </c>
      <c r="M153" s="6">
        <v>9.7726999999999994E-2</v>
      </c>
      <c r="N153" s="6">
        <v>3.8514999999999999E-3</v>
      </c>
      <c r="O153" s="6" t="s">
        <v>17</v>
      </c>
    </row>
    <row r="154" spans="1:15" ht="17" x14ac:dyDescent="0.35">
      <c r="A154" s="9">
        <v>101.31</v>
      </c>
      <c r="B154" s="11">
        <v>8.5126000000000008</v>
      </c>
      <c r="C154" s="6">
        <v>24.321999999999999</v>
      </c>
      <c r="D154" s="6">
        <v>4.1114999999999999E-2</v>
      </c>
      <c r="E154" s="6">
        <v>-2</v>
      </c>
      <c r="F154" s="6">
        <v>-1.9650000000000001</v>
      </c>
      <c r="G154" s="6">
        <v>95.397999999999996</v>
      </c>
      <c r="H154" s="6">
        <v>27.440999999999999</v>
      </c>
      <c r="I154" s="6">
        <v>65.929000000000002</v>
      </c>
      <c r="J154" s="6">
        <v>589.41</v>
      </c>
      <c r="K154" s="6">
        <v>-1.1776E-3</v>
      </c>
      <c r="L154" s="6">
        <v>72.872</v>
      </c>
      <c r="M154" s="6">
        <v>9.7533999999999996E-2</v>
      </c>
      <c r="N154" s="6">
        <v>3.8325999999999998E-3</v>
      </c>
      <c r="O154" s="6" t="s">
        <v>17</v>
      </c>
    </row>
    <row r="155" spans="1:15" ht="17" x14ac:dyDescent="0.35">
      <c r="A155" s="9">
        <v>101.41</v>
      </c>
      <c r="B155" s="11">
        <v>8.5688999999999993</v>
      </c>
      <c r="C155" s="6">
        <v>24.3</v>
      </c>
      <c r="D155" s="6">
        <v>4.1152000000000001E-2</v>
      </c>
      <c r="E155" s="6">
        <v>-1.9939</v>
      </c>
      <c r="F155" s="6">
        <v>-1.9585999999999999</v>
      </c>
      <c r="G155" s="6">
        <v>95.46</v>
      </c>
      <c r="H155" s="6">
        <v>27.434000000000001</v>
      </c>
      <c r="I155" s="6">
        <v>66.007000000000005</v>
      </c>
      <c r="J155" s="6">
        <v>588.22</v>
      </c>
      <c r="K155" s="6">
        <v>-9.1116999999999999E-4</v>
      </c>
      <c r="L155" s="6">
        <v>72.661000000000001</v>
      </c>
      <c r="M155" s="6">
        <v>9.7341999999999998E-2</v>
      </c>
      <c r="N155" s="6">
        <v>3.8138999999999998E-3</v>
      </c>
      <c r="O155" s="6" t="s">
        <v>17</v>
      </c>
    </row>
    <row r="156" spans="1:15" ht="17" x14ac:dyDescent="0.35">
      <c r="A156" s="9">
        <v>101.5</v>
      </c>
      <c r="B156" s="11">
        <v>8.6251999999999995</v>
      </c>
      <c r="C156" s="6">
        <v>24.279</v>
      </c>
      <c r="D156" s="6">
        <v>4.1189000000000003E-2</v>
      </c>
      <c r="E156" s="6">
        <v>-1.9877</v>
      </c>
      <c r="F156" s="6">
        <v>-1.9521999999999999</v>
      </c>
      <c r="G156" s="6">
        <v>95.521000000000001</v>
      </c>
      <c r="H156" s="6">
        <v>27.427</v>
      </c>
      <c r="I156" s="6">
        <v>66.085999999999999</v>
      </c>
      <c r="J156" s="6">
        <v>587.03</v>
      </c>
      <c r="K156" s="6">
        <v>-6.4409000000000005E-4</v>
      </c>
      <c r="L156" s="6">
        <v>72.451999999999998</v>
      </c>
      <c r="M156" s="6">
        <v>9.7151000000000001E-2</v>
      </c>
      <c r="N156" s="6">
        <v>3.7953000000000001E-3</v>
      </c>
      <c r="O156" s="6" t="s">
        <v>17</v>
      </c>
    </row>
    <row r="157" spans="1:15" ht="17" x14ac:dyDescent="0.35">
      <c r="A157" s="9">
        <v>101.6</v>
      </c>
      <c r="B157" s="11">
        <v>8.6814999999999998</v>
      </c>
      <c r="C157" s="6">
        <v>24.257000000000001</v>
      </c>
      <c r="D157" s="6">
        <v>4.1224999999999998E-2</v>
      </c>
      <c r="E157" s="6">
        <v>-1.9816</v>
      </c>
      <c r="F157" s="6">
        <v>-1.9458</v>
      </c>
      <c r="G157" s="6">
        <v>95.581000000000003</v>
      </c>
      <c r="H157" s="6">
        <v>27.42</v>
      </c>
      <c r="I157" s="6">
        <v>66.165999999999997</v>
      </c>
      <c r="J157" s="6">
        <v>585.85</v>
      </c>
      <c r="K157" s="6">
        <v>-3.7634000000000002E-4</v>
      </c>
      <c r="L157" s="6">
        <v>72.245000000000005</v>
      </c>
      <c r="M157" s="6">
        <v>9.6961000000000006E-2</v>
      </c>
      <c r="N157" s="6">
        <v>3.7767999999999999E-3</v>
      </c>
      <c r="O157" s="6" t="s">
        <v>17</v>
      </c>
    </row>
    <row r="158" spans="1:15" ht="17" x14ac:dyDescent="0.35">
      <c r="A158" s="9">
        <v>101.7</v>
      </c>
      <c r="B158" s="11">
        <v>8.7378</v>
      </c>
      <c r="C158" s="6">
        <v>24.236000000000001</v>
      </c>
      <c r="D158" s="6">
        <v>4.1262E-2</v>
      </c>
      <c r="E158" s="6">
        <v>-1.9755</v>
      </c>
      <c r="F158" s="6">
        <v>-1.9394</v>
      </c>
      <c r="G158" s="6">
        <v>95.641999999999996</v>
      </c>
      <c r="H158" s="6">
        <v>27.414000000000001</v>
      </c>
      <c r="I158" s="6">
        <v>66.245000000000005</v>
      </c>
      <c r="J158" s="6">
        <v>584.66999999999996</v>
      </c>
      <c r="K158" s="6">
        <v>-1.0792E-4</v>
      </c>
      <c r="L158" s="6">
        <v>72.039000000000001</v>
      </c>
      <c r="M158" s="6">
        <v>9.6771999999999997E-2</v>
      </c>
      <c r="N158" s="6">
        <v>3.7583999999999998E-3</v>
      </c>
      <c r="O158" s="6" t="s">
        <v>17</v>
      </c>
    </row>
    <row r="159" spans="1:15" ht="17" x14ac:dyDescent="0.35">
      <c r="A159" s="9">
        <v>101.79</v>
      </c>
      <c r="B159" s="11">
        <v>8.7941000000000003</v>
      </c>
      <c r="C159" s="6">
        <v>24.213999999999999</v>
      </c>
      <c r="D159" s="6">
        <v>4.1298000000000001E-2</v>
      </c>
      <c r="E159" s="6">
        <v>-1.9694</v>
      </c>
      <c r="F159" s="6">
        <v>-1.9331</v>
      </c>
      <c r="G159" s="6">
        <v>95.701999999999998</v>
      </c>
      <c r="H159" s="6">
        <v>27.407</v>
      </c>
      <c r="I159" s="6">
        <v>66.325000000000003</v>
      </c>
      <c r="J159" s="6">
        <v>583.5</v>
      </c>
      <c r="K159" s="6">
        <v>1.6118999999999999E-4</v>
      </c>
      <c r="L159" s="6">
        <v>71.834000000000003</v>
      </c>
      <c r="M159" s="6">
        <v>9.6583000000000002E-2</v>
      </c>
      <c r="N159" s="6">
        <v>3.7401000000000001E-3</v>
      </c>
      <c r="O159" s="6" t="s">
        <v>17</v>
      </c>
    </row>
    <row r="160" spans="1:15" ht="17" x14ac:dyDescent="0.35">
      <c r="A160" s="9">
        <v>101.89</v>
      </c>
      <c r="B160" s="11">
        <v>8.8504000000000005</v>
      </c>
      <c r="C160" s="6">
        <v>24.193000000000001</v>
      </c>
      <c r="D160" s="6">
        <v>4.1334000000000003E-2</v>
      </c>
      <c r="E160" s="6">
        <v>-1.9633</v>
      </c>
      <c r="F160" s="6">
        <v>-1.9267000000000001</v>
      </c>
      <c r="G160" s="6">
        <v>95.762</v>
      </c>
      <c r="H160" s="6">
        <v>27.4</v>
      </c>
      <c r="I160" s="6">
        <v>66.405000000000001</v>
      </c>
      <c r="J160" s="6">
        <v>582.33000000000004</v>
      </c>
      <c r="K160" s="6">
        <v>4.3098000000000002E-4</v>
      </c>
      <c r="L160" s="6">
        <v>71.632000000000005</v>
      </c>
      <c r="M160" s="6">
        <v>9.6394999999999995E-2</v>
      </c>
      <c r="N160" s="6">
        <v>3.7219000000000002E-3</v>
      </c>
      <c r="O160" s="6" t="s">
        <v>17</v>
      </c>
    </row>
    <row r="161" spans="1:15" ht="17" x14ac:dyDescent="0.35">
      <c r="A161" s="9">
        <v>101.98</v>
      </c>
      <c r="B161" s="11">
        <v>8.9065999999999992</v>
      </c>
      <c r="C161" s="6">
        <v>24.172000000000001</v>
      </c>
      <c r="D161" s="6">
        <v>4.1370999999999998E-2</v>
      </c>
      <c r="E161" s="6">
        <v>-1.9573</v>
      </c>
      <c r="F161" s="6">
        <v>-1.9204000000000001</v>
      </c>
      <c r="G161" s="6">
        <v>95.820999999999998</v>
      </c>
      <c r="H161" s="6">
        <v>27.393999999999998</v>
      </c>
      <c r="I161" s="6">
        <v>66.486000000000004</v>
      </c>
      <c r="J161" s="6">
        <v>581.16</v>
      </c>
      <c r="K161" s="6">
        <v>7.0146E-4</v>
      </c>
      <c r="L161" s="6">
        <v>71.430000000000007</v>
      </c>
      <c r="M161" s="6">
        <v>9.6209000000000003E-2</v>
      </c>
      <c r="N161" s="6">
        <v>3.7038000000000001E-3</v>
      </c>
      <c r="O161" s="6" t="s">
        <v>17</v>
      </c>
    </row>
    <row r="162" spans="1:15" ht="17" x14ac:dyDescent="0.35">
      <c r="A162" s="9">
        <v>102.08</v>
      </c>
      <c r="B162" s="11">
        <v>8.9628999999999994</v>
      </c>
      <c r="C162" s="6">
        <v>24.15</v>
      </c>
      <c r="D162" s="6">
        <v>4.1406999999999999E-2</v>
      </c>
      <c r="E162" s="6">
        <v>-1.9513</v>
      </c>
      <c r="F162" s="6">
        <v>-1.9140999999999999</v>
      </c>
      <c r="G162" s="6">
        <v>95.881</v>
      </c>
      <c r="H162" s="6">
        <v>27.387</v>
      </c>
      <c r="I162" s="6">
        <v>66.566999999999993</v>
      </c>
      <c r="J162" s="6">
        <v>580</v>
      </c>
      <c r="K162" s="6">
        <v>9.7263000000000004E-4</v>
      </c>
      <c r="L162" s="6">
        <v>71.23</v>
      </c>
      <c r="M162" s="6">
        <v>9.6022999999999997E-2</v>
      </c>
      <c r="N162" s="6">
        <v>3.6857999999999999E-3</v>
      </c>
      <c r="O162" s="6" t="s">
        <v>17</v>
      </c>
    </row>
    <row r="163" spans="1:15" ht="17" x14ac:dyDescent="0.35">
      <c r="A163" s="9">
        <v>102.17</v>
      </c>
      <c r="B163" s="11">
        <v>9.0191999999999997</v>
      </c>
      <c r="C163" s="6">
        <v>24.129000000000001</v>
      </c>
      <c r="D163" s="6">
        <v>4.1444000000000002E-2</v>
      </c>
      <c r="E163" s="6">
        <v>-1.9453</v>
      </c>
      <c r="F163" s="6">
        <v>-1.9078999999999999</v>
      </c>
      <c r="G163" s="6">
        <v>95.94</v>
      </c>
      <c r="H163" s="6">
        <v>27.381</v>
      </c>
      <c r="I163" s="6">
        <v>66.647999999999996</v>
      </c>
      <c r="J163" s="6">
        <v>578.84</v>
      </c>
      <c r="K163" s="6">
        <v>1.2444999999999999E-3</v>
      </c>
      <c r="L163" s="6">
        <v>71.031999999999996</v>
      </c>
      <c r="M163" s="6">
        <v>9.5838000000000007E-2</v>
      </c>
      <c r="N163" s="6">
        <v>3.6678000000000001E-3</v>
      </c>
      <c r="O163" s="6" t="s">
        <v>17</v>
      </c>
    </row>
    <row r="164" spans="1:15" ht="17" x14ac:dyDescent="0.35">
      <c r="A164" s="9">
        <v>102.27</v>
      </c>
      <c r="B164" s="11">
        <v>9.0754999999999999</v>
      </c>
      <c r="C164" s="6">
        <v>24.108000000000001</v>
      </c>
      <c r="D164" s="6">
        <v>4.1480000000000003E-2</v>
      </c>
      <c r="E164" s="6">
        <v>-1.9393</v>
      </c>
      <c r="F164" s="6">
        <v>-1.9016</v>
      </c>
      <c r="G164" s="6">
        <v>95.998000000000005</v>
      </c>
      <c r="H164" s="6">
        <v>27.373999999999999</v>
      </c>
      <c r="I164" s="6">
        <v>66.728999999999999</v>
      </c>
      <c r="J164" s="6">
        <v>577.69000000000005</v>
      </c>
      <c r="K164" s="6">
        <v>1.5171E-3</v>
      </c>
      <c r="L164" s="6">
        <v>70.834999999999994</v>
      </c>
      <c r="M164" s="6">
        <v>9.5653000000000002E-2</v>
      </c>
      <c r="N164" s="6">
        <v>3.65E-3</v>
      </c>
      <c r="O164" s="6" t="s">
        <v>17</v>
      </c>
    </row>
    <row r="165" spans="1:15" ht="17" x14ac:dyDescent="0.35">
      <c r="A165" s="9">
        <v>102.36</v>
      </c>
      <c r="B165" s="11">
        <v>9.1318000000000001</v>
      </c>
      <c r="C165" s="6">
        <v>24.087</v>
      </c>
      <c r="D165" s="6">
        <v>4.1515999999999997E-2</v>
      </c>
      <c r="E165" s="6">
        <v>-1.9333</v>
      </c>
      <c r="F165" s="6">
        <v>-1.8954</v>
      </c>
      <c r="G165" s="6">
        <v>96.057000000000002</v>
      </c>
      <c r="H165" s="6">
        <v>27.367999999999999</v>
      </c>
      <c r="I165" s="6">
        <v>66.811000000000007</v>
      </c>
      <c r="J165" s="6">
        <v>576.54</v>
      </c>
      <c r="K165" s="6">
        <v>1.7903999999999999E-3</v>
      </c>
      <c r="L165" s="6">
        <v>70.638999999999996</v>
      </c>
      <c r="M165" s="6">
        <v>9.5469999999999999E-2</v>
      </c>
      <c r="N165" s="6">
        <v>3.6323000000000002E-3</v>
      </c>
      <c r="O165" s="6" t="s">
        <v>17</v>
      </c>
    </row>
    <row r="166" spans="1:15" ht="17" x14ac:dyDescent="0.35">
      <c r="A166" s="9">
        <v>102.45</v>
      </c>
      <c r="B166" s="11">
        <v>9.1881000000000004</v>
      </c>
      <c r="C166" s="6">
        <v>24.065999999999999</v>
      </c>
      <c r="D166" s="6">
        <v>4.1551999999999999E-2</v>
      </c>
      <c r="E166" s="6">
        <v>-1.9274</v>
      </c>
      <c r="F166" s="6">
        <v>-1.8892</v>
      </c>
      <c r="G166" s="6">
        <v>96.114999999999995</v>
      </c>
      <c r="H166" s="6">
        <v>27.361999999999998</v>
      </c>
      <c r="I166" s="6">
        <v>66.893000000000001</v>
      </c>
      <c r="J166" s="6">
        <v>575.39</v>
      </c>
      <c r="K166" s="6">
        <v>2.0644000000000001E-3</v>
      </c>
      <c r="L166" s="6">
        <v>70.444999999999993</v>
      </c>
      <c r="M166" s="6">
        <v>9.5286999999999997E-2</v>
      </c>
      <c r="N166" s="6">
        <v>3.6147000000000002E-3</v>
      </c>
      <c r="O166" s="6" t="s">
        <v>17</v>
      </c>
    </row>
    <row r="167" spans="1:15" ht="17" x14ac:dyDescent="0.35">
      <c r="A167" s="9">
        <v>102.54</v>
      </c>
      <c r="B167" s="11">
        <v>9.2444000000000006</v>
      </c>
      <c r="C167" s="6">
        <v>24.045000000000002</v>
      </c>
      <c r="D167" s="6">
        <v>4.1589000000000001E-2</v>
      </c>
      <c r="E167" s="6">
        <v>-1.9215</v>
      </c>
      <c r="F167" s="6">
        <v>-1.883</v>
      </c>
      <c r="G167" s="6">
        <v>96.173000000000002</v>
      </c>
      <c r="H167" s="6">
        <v>27.356000000000002</v>
      </c>
      <c r="I167" s="6">
        <v>66.974999999999994</v>
      </c>
      <c r="J167" s="6">
        <v>574.25</v>
      </c>
      <c r="K167" s="6">
        <v>2.3391000000000002E-3</v>
      </c>
      <c r="L167" s="6">
        <v>70.251999999999995</v>
      </c>
      <c r="M167" s="6">
        <v>9.5104999999999995E-2</v>
      </c>
      <c r="N167" s="6">
        <v>3.5972000000000001E-3</v>
      </c>
      <c r="O167" s="6" t="s">
        <v>17</v>
      </c>
    </row>
    <row r="168" spans="1:15" ht="17" x14ac:dyDescent="0.35">
      <c r="A168" s="9">
        <v>102.64</v>
      </c>
      <c r="B168" s="11">
        <v>9.3007000000000009</v>
      </c>
      <c r="C168" s="6">
        <v>24.024000000000001</v>
      </c>
      <c r="D168" s="6">
        <v>4.1625000000000002E-2</v>
      </c>
      <c r="E168" s="6">
        <v>-1.9156</v>
      </c>
      <c r="F168" s="6">
        <v>-1.8769</v>
      </c>
      <c r="G168" s="6">
        <v>96.230999999999995</v>
      </c>
      <c r="H168" s="6">
        <v>27.35</v>
      </c>
      <c r="I168" s="6">
        <v>67.058000000000007</v>
      </c>
      <c r="J168" s="6">
        <v>573.11</v>
      </c>
      <c r="K168" s="6">
        <v>2.6145999999999999E-3</v>
      </c>
      <c r="L168" s="6">
        <v>70.06</v>
      </c>
      <c r="M168" s="6">
        <v>9.4923999999999994E-2</v>
      </c>
      <c r="N168" s="6">
        <v>3.5798000000000002E-3</v>
      </c>
      <c r="O168" s="6" t="s">
        <v>17</v>
      </c>
    </row>
    <row r="169" spans="1:15" ht="17" x14ac:dyDescent="0.35">
      <c r="A169" s="9">
        <v>102.73</v>
      </c>
      <c r="B169" s="11">
        <v>9.3569999999999993</v>
      </c>
      <c r="C169" s="6">
        <v>24.003</v>
      </c>
      <c r="D169" s="6">
        <v>4.1660999999999997E-2</v>
      </c>
      <c r="E169" s="6">
        <v>-1.9097</v>
      </c>
      <c r="F169" s="6">
        <v>-1.8708</v>
      </c>
      <c r="G169" s="6">
        <v>96.287999999999997</v>
      </c>
      <c r="H169" s="6">
        <v>27.344000000000001</v>
      </c>
      <c r="I169" s="6">
        <v>67.141000000000005</v>
      </c>
      <c r="J169" s="6">
        <v>571.97</v>
      </c>
      <c r="K169" s="6">
        <v>2.8907999999999998E-3</v>
      </c>
      <c r="L169" s="6">
        <v>69.87</v>
      </c>
      <c r="M169" s="6">
        <v>9.4743999999999995E-2</v>
      </c>
      <c r="N169" s="6">
        <v>3.5623999999999999E-3</v>
      </c>
      <c r="O169" s="6" t="s">
        <v>17</v>
      </c>
    </row>
    <row r="170" spans="1:15" ht="17" x14ac:dyDescent="0.35">
      <c r="A170" s="9">
        <v>102.82</v>
      </c>
      <c r="B170" s="11">
        <v>9.4132999999999996</v>
      </c>
      <c r="C170" s="6">
        <v>23.981999999999999</v>
      </c>
      <c r="D170" s="6">
        <v>4.1696999999999998E-2</v>
      </c>
      <c r="E170" s="6">
        <v>-1.9038999999999999</v>
      </c>
      <c r="F170" s="6">
        <v>-1.8646</v>
      </c>
      <c r="G170" s="6">
        <v>96.346000000000004</v>
      </c>
      <c r="H170" s="6">
        <v>27.338000000000001</v>
      </c>
      <c r="I170" s="6">
        <v>67.224000000000004</v>
      </c>
      <c r="J170" s="6">
        <v>570.84</v>
      </c>
      <c r="K170" s="6">
        <v>3.1676999999999999E-3</v>
      </c>
      <c r="L170" s="6">
        <v>69.680999999999997</v>
      </c>
      <c r="M170" s="6">
        <v>9.4563999999999995E-2</v>
      </c>
      <c r="N170" s="6">
        <v>3.5452000000000001E-3</v>
      </c>
      <c r="O170" s="6" t="s">
        <v>17</v>
      </c>
    </row>
    <row r="171" spans="1:15" ht="17" x14ac:dyDescent="0.35">
      <c r="A171" s="9">
        <v>102.91</v>
      </c>
      <c r="B171" s="11">
        <v>9.4695999999999998</v>
      </c>
      <c r="C171" s="6">
        <v>23.962</v>
      </c>
      <c r="D171" s="6">
        <v>4.1732999999999999E-2</v>
      </c>
      <c r="E171" s="6">
        <v>-1.8980999999999999</v>
      </c>
      <c r="F171" s="6">
        <v>-1.8585</v>
      </c>
      <c r="G171" s="6">
        <v>96.403000000000006</v>
      </c>
      <c r="H171" s="6">
        <v>27.332000000000001</v>
      </c>
      <c r="I171" s="6">
        <v>67.308000000000007</v>
      </c>
      <c r="J171" s="6">
        <v>569.71</v>
      </c>
      <c r="K171" s="6">
        <v>3.4453999999999999E-3</v>
      </c>
      <c r="L171" s="6">
        <v>69.492999999999995</v>
      </c>
      <c r="M171" s="6">
        <v>9.4385999999999998E-2</v>
      </c>
      <c r="N171" s="6">
        <v>3.5279999999999999E-3</v>
      </c>
      <c r="O171" s="6" t="s">
        <v>17</v>
      </c>
    </row>
    <row r="172" spans="1:15" ht="17" x14ac:dyDescent="0.35">
      <c r="A172" s="9">
        <v>103</v>
      </c>
      <c r="B172" s="11">
        <v>9.5259</v>
      </c>
      <c r="C172" s="6">
        <v>23.940999999999999</v>
      </c>
      <c r="D172" s="6">
        <v>4.1769000000000001E-2</v>
      </c>
      <c r="E172" s="6">
        <v>-1.8923000000000001</v>
      </c>
      <c r="F172" s="6">
        <v>-1.8525</v>
      </c>
      <c r="G172" s="6">
        <v>96.459000000000003</v>
      </c>
      <c r="H172" s="6">
        <v>27.327000000000002</v>
      </c>
      <c r="I172" s="6">
        <v>67.391999999999996</v>
      </c>
      <c r="J172" s="6">
        <v>568.58000000000004</v>
      </c>
      <c r="K172" s="6">
        <v>3.7238000000000002E-3</v>
      </c>
      <c r="L172" s="6">
        <v>69.305999999999997</v>
      </c>
      <c r="M172" s="6">
        <v>9.4208E-2</v>
      </c>
      <c r="N172" s="6">
        <v>3.5109999999999998E-3</v>
      </c>
      <c r="O172" s="6" t="s">
        <v>17</v>
      </c>
    </row>
    <row r="173" spans="1:15" ht="17" x14ac:dyDescent="0.35">
      <c r="A173" s="9">
        <v>103.09</v>
      </c>
      <c r="B173" s="11">
        <v>9.5821000000000005</v>
      </c>
      <c r="C173" s="6">
        <v>23.92</v>
      </c>
      <c r="D173" s="6">
        <v>4.1806000000000003E-2</v>
      </c>
      <c r="E173" s="6">
        <v>-1.8865000000000001</v>
      </c>
      <c r="F173" s="6">
        <v>-1.8464</v>
      </c>
      <c r="G173" s="6">
        <v>96.516000000000005</v>
      </c>
      <c r="H173" s="6">
        <v>27.321000000000002</v>
      </c>
      <c r="I173" s="6">
        <v>67.475999999999999</v>
      </c>
      <c r="J173" s="6">
        <v>567.46</v>
      </c>
      <c r="K173" s="6">
        <v>4.0029999999999996E-3</v>
      </c>
      <c r="L173" s="6">
        <v>69.120999999999995</v>
      </c>
      <c r="M173" s="6">
        <v>9.4031000000000003E-2</v>
      </c>
      <c r="N173" s="6">
        <v>3.4940000000000001E-3</v>
      </c>
      <c r="O173" s="6" t="s">
        <v>17</v>
      </c>
    </row>
    <row r="174" spans="1:15" ht="17" x14ac:dyDescent="0.35">
      <c r="A174" s="9">
        <v>103.18</v>
      </c>
      <c r="B174" s="11">
        <v>9.6384000000000007</v>
      </c>
      <c r="C174" s="6">
        <v>23.9</v>
      </c>
      <c r="D174" s="6">
        <v>4.1841999999999997E-2</v>
      </c>
      <c r="E174" s="6">
        <v>-1.8807</v>
      </c>
      <c r="F174" s="6">
        <v>-1.8404</v>
      </c>
      <c r="G174" s="6">
        <v>96.572000000000003</v>
      </c>
      <c r="H174" s="6">
        <v>27.315000000000001</v>
      </c>
      <c r="I174" s="6">
        <v>67.561000000000007</v>
      </c>
      <c r="J174" s="6">
        <v>566.34</v>
      </c>
      <c r="K174" s="6">
        <v>4.2830000000000003E-3</v>
      </c>
      <c r="L174" s="6">
        <v>68.936999999999998</v>
      </c>
      <c r="M174" s="6">
        <v>9.3854000000000007E-2</v>
      </c>
      <c r="N174" s="6">
        <v>3.4770999999999999E-3</v>
      </c>
      <c r="O174" s="6" t="s">
        <v>17</v>
      </c>
    </row>
    <row r="175" spans="1:15" ht="17" x14ac:dyDescent="0.35">
      <c r="A175" s="9">
        <v>103.27</v>
      </c>
      <c r="B175" s="11">
        <v>9.6946999999999992</v>
      </c>
      <c r="C175" s="6">
        <v>23.879000000000001</v>
      </c>
      <c r="D175" s="6">
        <v>4.1877999999999999E-2</v>
      </c>
      <c r="E175" s="6">
        <v>-1.8749</v>
      </c>
      <c r="F175" s="6">
        <v>-1.8343</v>
      </c>
      <c r="G175" s="6">
        <v>96.628</v>
      </c>
      <c r="H175" s="6">
        <v>27.31</v>
      </c>
      <c r="I175" s="6">
        <v>67.646000000000001</v>
      </c>
      <c r="J175" s="6">
        <v>565.22</v>
      </c>
      <c r="K175" s="6">
        <v>4.5637000000000004E-3</v>
      </c>
      <c r="L175" s="6">
        <v>68.754000000000005</v>
      </c>
      <c r="M175" s="6">
        <v>9.3677999999999997E-2</v>
      </c>
      <c r="N175" s="6">
        <v>3.4602999999999999E-3</v>
      </c>
      <c r="O175" s="6" t="s">
        <v>17</v>
      </c>
    </row>
    <row r="176" spans="1:15" ht="17" x14ac:dyDescent="0.35">
      <c r="A176" s="9">
        <v>103.36</v>
      </c>
      <c r="B176" s="11">
        <v>9.7509999999999994</v>
      </c>
      <c r="C176" s="6">
        <v>23.858000000000001</v>
      </c>
      <c r="D176" s="6">
        <v>4.1914E-2</v>
      </c>
      <c r="E176" s="6">
        <v>-1.8692</v>
      </c>
      <c r="F176" s="6">
        <v>-1.8283</v>
      </c>
      <c r="G176" s="6">
        <v>96.683999999999997</v>
      </c>
      <c r="H176" s="6">
        <v>27.303999999999998</v>
      </c>
      <c r="I176" s="6">
        <v>67.730999999999995</v>
      </c>
      <c r="J176" s="6">
        <v>564.11</v>
      </c>
      <c r="K176" s="6">
        <v>4.8452E-3</v>
      </c>
      <c r="L176" s="6">
        <v>68.572999999999993</v>
      </c>
      <c r="M176" s="6">
        <v>9.3503000000000003E-2</v>
      </c>
      <c r="N176" s="6">
        <v>3.4435999999999998E-3</v>
      </c>
      <c r="O176" s="6" t="s">
        <v>17</v>
      </c>
    </row>
    <row r="177" spans="1:15" ht="17" x14ac:dyDescent="0.35">
      <c r="A177" s="9">
        <v>103.45</v>
      </c>
      <c r="B177" s="11">
        <v>9.8072999999999997</v>
      </c>
      <c r="C177" s="6">
        <v>23.838000000000001</v>
      </c>
      <c r="D177" s="6">
        <v>4.1950000000000001E-2</v>
      </c>
      <c r="E177" s="6">
        <v>-1.8634999999999999</v>
      </c>
      <c r="F177" s="6">
        <v>-1.8224</v>
      </c>
      <c r="G177" s="6">
        <v>96.74</v>
      </c>
      <c r="H177" s="6">
        <v>27.298999999999999</v>
      </c>
      <c r="I177" s="6">
        <v>67.816999999999993</v>
      </c>
      <c r="J177" s="6">
        <v>563</v>
      </c>
      <c r="K177" s="6">
        <v>5.1273999999999998E-3</v>
      </c>
      <c r="L177" s="6">
        <v>68.391999999999996</v>
      </c>
      <c r="M177" s="6">
        <v>9.3328999999999995E-2</v>
      </c>
      <c r="N177" s="6">
        <v>3.4269000000000001E-3</v>
      </c>
      <c r="O177" s="6" t="s">
        <v>17</v>
      </c>
    </row>
    <row r="178" spans="1:15" ht="17" x14ac:dyDescent="0.35">
      <c r="A178" s="9">
        <v>103.53</v>
      </c>
      <c r="B178" s="11">
        <v>9.8635999999999999</v>
      </c>
      <c r="C178" s="6">
        <v>23.818000000000001</v>
      </c>
      <c r="D178" s="6">
        <v>4.1986000000000002E-2</v>
      </c>
      <c r="E178" s="6">
        <v>-1.8577999999999999</v>
      </c>
      <c r="F178" s="6">
        <v>-1.8164</v>
      </c>
      <c r="G178" s="6">
        <v>96.795000000000002</v>
      </c>
      <c r="H178" s="6">
        <v>27.294</v>
      </c>
      <c r="I178" s="6">
        <v>67.903000000000006</v>
      </c>
      <c r="J178" s="6">
        <v>561.89</v>
      </c>
      <c r="K178" s="6">
        <v>5.4105000000000004E-3</v>
      </c>
      <c r="L178" s="6">
        <v>68.212999999999994</v>
      </c>
      <c r="M178" s="6">
        <v>9.3156000000000003E-2</v>
      </c>
      <c r="N178" s="6">
        <v>3.4104000000000001E-3</v>
      </c>
      <c r="O178" s="6" t="s">
        <v>17</v>
      </c>
    </row>
    <row r="179" spans="1:15" ht="17" x14ac:dyDescent="0.35">
      <c r="A179" s="9">
        <v>103.62</v>
      </c>
      <c r="B179" s="11">
        <v>9.9199000000000002</v>
      </c>
      <c r="C179" s="6">
        <v>23.797000000000001</v>
      </c>
      <c r="D179" s="6">
        <v>4.2021999999999997E-2</v>
      </c>
      <c r="E179" s="6">
        <v>-1.8521000000000001</v>
      </c>
      <c r="F179" s="6">
        <v>-1.8104</v>
      </c>
      <c r="G179" s="6">
        <v>96.85</v>
      </c>
      <c r="H179" s="6">
        <v>27.289000000000001</v>
      </c>
      <c r="I179" s="6">
        <v>67.989000000000004</v>
      </c>
      <c r="J179" s="6">
        <v>560.79</v>
      </c>
      <c r="K179" s="6">
        <v>5.6943000000000002E-3</v>
      </c>
      <c r="L179" s="6">
        <v>68.034999999999997</v>
      </c>
      <c r="M179" s="6">
        <v>9.2982999999999996E-2</v>
      </c>
      <c r="N179" s="6">
        <v>3.3939E-3</v>
      </c>
      <c r="O179" s="6" t="s">
        <v>17</v>
      </c>
    </row>
    <row r="180" spans="1:15" ht="17" x14ac:dyDescent="0.35">
      <c r="A180" s="9">
        <v>103.71</v>
      </c>
      <c r="B180" s="11">
        <v>9.9762000000000004</v>
      </c>
      <c r="C180" s="6">
        <v>23.777000000000001</v>
      </c>
      <c r="D180" s="6">
        <v>4.2057999999999998E-2</v>
      </c>
      <c r="E180" s="6">
        <v>-1.8465</v>
      </c>
      <c r="F180" s="6">
        <v>-1.8045</v>
      </c>
      <c r="G180" s="6">
        <v>96.905000000000001</v>
      </c>
      <c r="H180" s="6">
        <v>27.283999999999999</v>
      </c>
      <c r="I180" s="6">
        <v>68.075999999999993</v>
      </c>
      <c r="J180" s="6">
        <v>559.69000000000005</v>
      </c>
      <c r="K180" s="6">
        <v>5.9788999999999997E-3</v>
      </c>
      <c r="L180" s="6">
        <v>67.858000000000004</v>
      </c>
      <c r="M180" s="6">
        <v>9.2811000000000005E-2</v>
      </c>
      <c r="N180" s="6">
        <v>3.3774999999999999E-3</v>
      </c>
      <c r="O180" s="6" t="s">
        <v>17</v>
      </c>
    </row>
    <row r="181" spans="1:15" ht="17" x14ac:dyDescent="0.35">
      <c r="A181" s="9">
        <v>103.8</v>
      </c>
      <c r="B181" s="11">
        <v>10.032</v>
      </c>
      <c r="C181" s="6">
        <v>23.756</v>
      </c>
      <c r="D181" s="6">
        <v>4.2093999999999999E-2</v>
      </c>
      <c r="E181" s="6">
        <v>-1.8408</v>
      </c>
      <c r="F181" s="6">
        <v>-1.7986</v>
      </c>
      <c r="G181" s="6">
        <v>96.96</v>
      </c>
      <c r="H181" s="6">
        <v>27.279</v>
      </c>
      <c r="I181" s="6">
        <v>68.162999999999997</v>
      </c>
      <c r="J181" s="6">
        <v>558.59</v>
      </c>
      <c r="K181" s="6">
        <v>6.2643999999999998E-3</v>
      </c>
      <c r="L181" s="6">
        <v>67.682000000000002</v>
      </c>
      <c r="M181" s="6">
        <v>9.2638999999999999E-2</v>
      </c>
      <c r="N181" s="6">
        <v>3.3612E-3</v>
      </c>
      <c r="O181" s="6" t="s">
        <v>17</v>
      </c>
    </row>
    <row r="182" spans="1:15" ht="17" x14ac:dyDescent="0.35">
      <c r="A182" s="9">
        <v>103.88</v>
      </c>
      <c r="B182" s="11">
        <v>10.089</v>
      </c>
      <c r="C182" s="6">
        <v>23.736000000000001</v>
      </c>
      <c r="D182" s="6">
        <v>4.2130000000000001E-2</v>
      </c>
      <c r="E182" s="6">
        <v>-1.8351999999999999</v>
      </c>
      <c r="F182" s="6">
        <v>-1.7927</v>
      </c>
      <c r="G182" s="6">
        <v>97.013999999999996</v>
      </c>
      <c r="H182" s="6">
        <v>27.274000000000001</v>
      </c>
      <c r="I182" s="6">
        <v>68.251000000000005</v>
      </c>
      <c r="J182" s="6">
        <v>557.5</v>
      </c>
      <c r="K182" s="6">
        <v>6.5506000000000002E-3</v>
      </c>
      <c r="L182" s="6">
        <v>67.507000000000005</v>
      </c>
      <c r="M182" s="6">
        <v>9.2467999999999995E-2</v>
      </c>
      <c r="N182" s="6">
        <v>3.3449999999999999E-3</v>
      </c>
      <c r="O182" s="6" t="s">
        <v>17</v>
      </c>
    </row>
    <row r="183" spans="1:15" ht="17" x14ac:dyDescent="0.35">
      <c r="A183" s="9">
        <v>103.97</v>
      </c>
      <c r="B183" s="11">
        <v>10.145</v>
      </c>
      <c r="C183" s="6">
        <v>23.716000000000001</v>
      </c>
      <c r="D183" s="6">
        <v>4.2166000000000002E-2</v>
      </c>
      <c r="E183" s="6">
        <v>-1.8295999999999999</v>
      </c>
      <c r="F183" s="6">
        <v>-1.7867999999999999</v>
      </c>
      <c r="G183" s="6">
        <v>97.067999999999998</v>
      </c>
      <c r="H183" s="6">
        <v>27.268999999999998</v>
      </c>
      <c r="I183" s="6">
        <v>68.338999999999999</v>
      </c>
      <c r="J183" s="6">
        <v>556.41</v>
      </c>
      <c r="K183" s="6">
        <v>6.8376000000000001E-3</v>
      </c>
      <c r="L183" s="6">
        <v>67.332999999999998</v>
      </c>
      <c r="M183" s="6">
        <v>9.2298000000000005E-2</v>
      </c>
      <c r="N183" s="6">
        <v>3.3289000000000001E-3</v>
      </c>
      <c r="O183" s="6" t="s">
        <v>17</v>
      </c>
    </row>
    <row r="184" spans="1:15" ht="17" x14ac:dyDescent="0.35">
      <c r="A184" s="9">
        <v>104.06</v>
      </c>
      <c r="B184" s="11">
        <v>10.201000000000001</v>
      </c>
      <c r="C184" s="6">
        <v>23.696000000000002</v>
      </c>
      <c r="D184" s="6">
        <v>4.2202000000000003E-2</v>
      </c>
      <c r="E184" s="6">
        <v>-1.8240000000000001</v>
      </c>
      <c r="F184" s="6">
        <v>-1.7809999999999999</v>
      </c>
      <c r="G184" s="6">
        <v>97.122</v>
      </c>
      <c r="H184" s="6">
        <v>27.263999999999999</v>
      </c>
      <c r="I184" s="6">
        <v>68.427000000000007</v>
      </c>
      <c r="J184" s="6">
        <v>555.32000000000005</v>
      </c>
      <c r="K184" s="6">
        <v>7.1254999999999999E-3</v>
      </c>
      <c r="L184" s="6">
        <v>67.161000000000001</v>
      </c>
      <c r="M184" s="6">
        <v>9.2129000000000003E-2</v>
      </c>
      <c r="N184" s="6">
        <v>3.3127999999999999E-3</v>
      </c>
      <c r="O184" s="6" t="s">
        <v>17</v>
      </c>
    </row>
    <row r="185" spans="1:15" ht="17" x14ac:dyDescent="0.35">
      <c r="A185" s="9">
        <v>104.14</v>
      </c>
      <c r="B185" s="11">
        <v>10.257999999999999</v>
      </c>
      <c r="C185" s="6">
        <v>23.675000000000001</v>
      </c>
      <c r="D185" s="6">
        <v>4.2237999999999998E-2</v>
      </c>
      <c r="E185" s="6">
        <v>-1.8185</v>
      </c>
      <c r="F185" s="6">
        <v>-1.7750999999999999</v>
      </c>
      <c r="G185" s="6">
        <v>97.176000000000002</v>
      </c>
      <c r="H185" s="6">
        <v>27.259</v>
      </c>
      <c r="I185" s="6">
        <v>68.515000000000001</v>
      </c>
      <c r="J185" s="6">
        <v>554.23</v>
      </c>
      <c r="K185" s="6">
        <v>7.4142000000000001E-3</v>
      </c>
      <c r="L185" s="6">
        <v>66.989000000000004</v>
      </c>
      <c r="M185" s="6">
        <v>9.196E-2</v>
      </c>
      <c r="N185" s="6">
        <v>3.2967999999999999E-3</v>
      </c>
      <c r="O185" s="6" t="s">
        <v>17</v>
      </c>
    </row>
    <row r="186" spans="1:15" ht="17" x14ac:dyDescent="0.35">
      <c r="A186" s="9">
        <v>104.23</v>
      </c>
      <c r="B186" s="11">
        <v>10.314</v>
      </c>
      <c r="C186" s="6">
        <v>23.655000000000001</v>
      </c>
      <c r="D186" s="6">
        <v>4.2273999999999999E-2</v>
      </c>
      <c r="E186" s="6">
        <v>-1.8129</v>
      </c>
      <c r="F186" s="6">
        <v>-1.7693000000000001</v>
      </c>
      <c r="G186" s="6">
        <v>97.23</v>
      </c>
      <c r="H186" s="6">
        <v>27.254000000000001</v>
      </c>
      <c r="I186" s="6">
        <v>68.603999999999999</v>
      </c>
      <c r="J186" s="6">
        <v>553.15</v>
      </c>
      <c r="K186" s="6">
        <v>7.7037E-3</v>
      </c>
      <c r="L186" s="6">
        <v>66.817999999999998</v>
      </c>
      <c r="M186" s="6">
        <v>9.1791999999999999E-2</v>
      </c>
      <c r="N186" s="6">
        <v>3.2808999999999998E-3</v>
      </c>
      <c r="O186" s="6" t="s">
        <v>17</v>
      </c>
    </row>
    <row r="187" spans="1:15" ht="17" x14ac:dyDescent="0.35">
      <c r="A187" s="9">
        <v>104.31</v>
      </c>
      <c r="B187" s="11">
        <v>10.37</v>
      </c>
      <c r="C187" s="6">
        <v>23.635000000000002</v>
      </c>
      <c r="D187" s="6">
        <v>4.231E-2</v>
      </c>
      <c r="E187" s="6">
        <v>-1.8073999999999999</v>
      </c>
      <c r="F187" s="6">
        <v>-1.7635000000000001</v>
      </c>
      <c r="G187" s="6">
        <v>97.283000000000001</v>
      </c>
      <c r="H187" s="6">
        <v>27.25</v>
      </c>
      <c r="I187" s="6">
        <v>68.694000000000003</v>
      </c>
      <c r="J187" s="6">
        <v>552.07000000000005</v>
      </c>
      <c r="K187" s="6">
        <v>7.9939999999999994E-3</v>
      </c>
      <c r="L187" s="6">
        <v>66.649000000000001</v>
      </c>
      <c r="M187" s="6">
        <v>9.1624999999999998E-2</v>
      </c>
      <c r="N187" s="6">
        <v>3.2650999999999999E-3</v>
      </c>
      <c r="O187" s="6" t="s">
        <v>17</v>
      </c>
    </row>
    <row r="188" spans="1:15" ht="17" x14ac:dyDescent="0.35">
      <c r="A188" s="9">
        <v>104.4</v>
      </c>
      <c r="B188" s="11">
        <v>10.427</v>
      </c>
      <c r="C188" s="6">
        <v>23.614999999999998</v>
      </c>
      <c r="D188" s="6">
        <v>4.2346000000000002E-2</v>
      </c>
      <c r="E188" s="6">
        <v>-1.8019000000000001</v>
      </c>
      <c r="F188" s="6">
        <v>-1.7577</v>
      </c>
      <c r="G188" s="6">
        <v>97.337000000000003</v>
      </c>
      <c r="H188" s="6">
        <v>27.245000000000001</v>
      </c>
      <c r="I188" s="6">
        <v>68.783000000000001</v>
      </c>
      <c r="J188" s="6">
        <v>550.99</v>
      </c>
      <c r="K188" s="6">
        <v>8.2851999999999995E-3</v>
      </c>
      <c r="L188" s="6">
        <v>66.48</v>
      </c>
      <c r="M188" s="6">
        <v>9.1457999999999998E-2</v>
      </c>
      <c r="N188" s="6">
        <v>3.2493000000000001E-3</v>
      </c>
      <c r="O188" s="6" t="s">
        <v>17</v>
      </c>
    </row>
    <row r="189" spans="1:15" ht="17" x14ac:dyDescent="0.35">
      <c r="A189" s="9">
        <v>104.48</v>
      </c>
      <c r="B189" s="11">
        <v>10.483000000000001</v>
      </c>
      <c r="C189" s="6">
        <v>23.594999999999999</v>
      </c>
      <c r="D189" s="6">
        <v>4.2382000000000003E-2</v>
      </c>
      <c r="E189" s="6">
        <v>-1.7964</v>
      </c>
      <c r="F189" s="6">
        <v>-1.7519</v>
      </c>
      <c r="G189" s="6">
        <v>97.39</v>
      </c>
      <c r="H189" s="6">
        <v>27.241</v>
      </c>
      <c r="I189" s="6">
        <v>68.873999999999995</v>
      </c>
      <c r="J189" s="6">
        <v>549.91999999999996</v>
      </c>
      <c r="K189" s="6">
        <v>8.5772000000000001E-3</v>
      </c>
      <c r="L189" s="6">
        <v>66.313000000000002</v>
      </c>
      <c r="M189" s="6">
        <v>9.1291999999999998E-2</v>
      </c>
      <c r="N189" s="6">
        <v>3.2336999999999999E-3</v>
      </c>
      <c r="O189" s="6" t="s">
        <v>17</v>
      </c>
    </row>
    <row r="190" spans="1:15" ht="17" x14ac:dyDescent="0.35">
      <c r="A190" s="9">
        <v>104.57</v>
      </c>
      <c r="B190" s="11">
        <v>10.539</v>
      </c>
      <c r="C190" s="6">
        <v>23.574999999999999</v>
      </c>
      <c r="D190" s="6">
        <v>4.2417000000000003E-2</v>
      </c>
      <c r="E190" s="6">
        <v>-1.7908999999999999</v>
      </c>
      <c r="F190" s="6">
        <v>-1.7462</v>
      </c>
      <c r="G190" s="6">
        <v>97.441999999999993</v>
      </c>
      <c r="H190" s="6">
        <v>27.236000000000001</v>
      </c>
      <c r="I190" s="6">
        <v>68.963999999999999</v>
      </c>
      <c r="J190" s="6">
        <v>548.85</v>
      </c>
      <c r="K190" s="6">
        <v>8.8701000000000006E-3</v>
      </c>
      <c r="L190" s="6">
        <v>66.146000000000001</v>
      </c>
      <c r="M190" s="6">
        <v>9.1125999999999999E-2</v>
      </c>
      <c r="N190" s="6">
        <v>3.2181000000000002E-3</v>
      </c>
      <c r="O190" s="6" t="s">
        <v>17</v>
      </c>
    </row>
    <row r="191" spans="1:15" ht="17" x14ac:dyDescent="0.35">
      <c r="A191" s="9">
        <v>104.65</v>
      </c>
      <c r="B191" s="11">
        <v>10.595000000000001</v>
      </c>
      <c r="C191" s="6">
        <v>23.555</v>
      </c>
      <c r="D191" s="6">
        <v>4.2452999999999998E-2</v>
      </c>
      <c r="E191" s="6">
        <v>-1.7854000000000001</v>
      </c>
      <c r="F191" s="6">
        <v>-1.7403999999999999</v>
      </c>
      <c r="G191" s="6">
        <v>97.495000000000005</v>
      </c>
      <c r="H191" s="6">
        <v>27.231999999999999</v>
      </c>
      <c r="I191" s="6">
        <v>69.055000000000007</v>
      </c>
      <c r="J191" s="6">
        <v>547.78</v>
      </c>
      <c r="K191" s="6">
        <v>9.1637999999999997E-3</v>
      </c>
      <c r="L191" s="6">
        <v>65.980999999999995</v>
      </c>
      <c r="M191" s="6">
        <v>9.0961E-2</v>
      </c>
      <c r="N191" s="6">
        <v>3.2025000000000001E-3</v>
      </c>
      <c r="O191" s="6" t="s">
        <v>17</v>
      </c>
    </row>
    <row r="192" spans="1:15" ht="17" x14ac:dyDescent="0.35">
      <c r="A192" s="9">
        <v>104.73</v>
      </c>
      <c r="B192" s="11">
        <v>10.651999999999999</v>
      </c>
      <c r="C192" s="6">
        <v>23.535</v>
      </c>
      <c r="D192" s="6">
        <v>4.2488999999999999E-2</v>
      </c>
      <c r="E192" s="6">
        <v>-1.7799</v>
      </c>
      <c r="F192" s="6">
        <v>-1.7346999999999999</v>
      </c>
      <c r="G192" s="6">
        <v>97.548000000000002</v>
      </c>
      <c r="H192" s="6">
        <v>27.228000000000002</v>
      </c>
      <c r="I192" s="6">
        <v>69.146000000000001</v>
      </c>
      <c r="J192" s="6">
        <v>546.71</v>
      </c>
      <c r="K192" s="6">
        <v>9.4584000000000005E-3</v>
      </c>
      <c r="L192" s="6">
        <v>65.816000000000003</v>
      </c>
      <c r="M192" s="6">
        <v>9.0797000000000003E-2</v>
      </c>
      <c r="N192" s="6">
        <v>3.1871E-3</v>
      </c>
      <c r="O192" s="6" t="s">
        <v>17</v>
      </c>
    </row>
    <row r="193" spans="1:15" ht="17" x14ac:dyDescent="0.35">
      <c r="A193" s="9">
        <v>104.82</v>
      </c>
      <c r="B193" s="11">
        <v>10.708</v>
      </c>
      <c r="C193" s="6">
        <v>23.515000000000001</v>
      </c>
      <c r="D193" s="6">
        <v>4.2525E-2</v>
      </c>
      <c r="E193" s="6">
        <v>-1.7745</v>
      </c>
      <c r="F193" s="6">
        <v>-1.7290000000000001</v>
      </c>
      <c r="G193" s="6">
        <v>97.6</v>
      </c>
      <c r="H193" s="6">
        <v>27.224</v>
      </c>
      <c r="I193" s="6">
        <v>69.238</v>
      </c>
      <c r="J193" s="6">
        <v>545.65</v>
      </c>
      <c r="K193" s="6">
        <v>9.7538999999999994E-3</v>
      </c>
      <c r="L193" s="6">
        <v>65.652000000000001</v>
      </c>
      <c r="M193" s="6">
        <v>9.0634000000000006E-2</v>
      </c>
      <c r="N193" s="6">
        <v>3.1717E-3</v>
      </c>
      <c r="O193" s="6" t="s">
        <v>17</v>
      </c>
    </row>
    <row r="194" spans="1:15" ht="17" x14ac:dyDescent="0.35">
      <c r="A194" s="9">
        <v>104.9</v>
      </c>
      <c r="B194" s="11">
        <v>10.763999999999999</v>
      </c>
      <c r="C194" s="6">
        <v>23.495999999999999</v>
      </c>
      <c r="D194" s="6">
        <v>4.2561000000000002E-2</v>
      </c>
      <c r="E194" s="6">
        <v>-1.7690999999999999</v>
      </c>
      <c r="F194" s="6">
        <v>-1.7233000000000001</v>
      </c>
      <c r="G194" s="6">
        <v>97.652000000000001</v>
      </c>
      <c r="H194" s="6">
        <v>27.219000000000001</v>
      </c>
      <c r="I194" s="6">
        <v>69.33</v>
      </c>
      <c r="J194" s="6">
        <v>544.59</v>
      </c>
      <c r="K194" s="6">
        <v>1.005E-2</v>
      </c>
      <c r="L194" s="6">
        <v>65.489999999999995</v>
      </c>
      <c r="M194" s="6">
        <v>9.0470999999999996E-2</v>
      </c>
      <c r="N194" s="6">
        <v>3.1564000000000002E-3</v>
      </c>
      <c r="O194" s="6" t="s">
        <v>17</v>
      </c>
    </row>
    <row r="195" spans="1:15" ht="17" x14ac:dyDescent="0.35">
      <c r="A195" s="9">
        <v>104.98</v>
      </c>
      <c r="B195" s="11">
        <v>10.821</v>
      </c>
      <c r="C195" s="6">
        <v>23.475999999999999</v>
      </c>
      <c r="D195" s="6">
        <v>4.2597000000000003E-2</v>
      </c>
      <c r="E195" s="6">
        <v>-1.7637</v>
      </c>
      <c r="F195" s="6">
        <v>-1.7176</v>
      </c>
      <c r="G195" s="6">
        <v>97.703999999999994</v>
      </c>
      <c r="H195" s="6">
        <v>27.215</v>
      </c>
      <c r="I195" s="6">
        <v>69.421999999999997</v>
      </c>
      <c r="J195" s="6">
        <v>543.53</v>
      </c>
      <c r="K195" s="6">
        <v>1.0347E-2</v>
      </c>
      <c r="L195" s="6">
        <v>65.328000000000003</v>
      </c>
      <c r="M195" s="6">
        <v>9.0307999999999999E-2</v>
      </c>
      <c r="N195" s="6">
        <v>3.1411999999999998E-3</v>
      </c>
      <c r="O195" s="6" t="s">
        <v>17</v>
      </c>
    </row>
    <row r="196" spans="1:15" ht="17" x14ac:dyDescent="0.35">
      <c r="A196" s="9">
        <v>105.06</v>
      </c>
      <c r="B196" s="11">
        <v>10.877000000000001</v>
      </c>
      <c r="C196" s="6">
        <v>23.456</v>
      </c>
      <c r="D196" s="6">
        <v>4.2632999999999997E-2</v>
      </c>
      <c r="E196" s="6">
        <v>-1.7583</v>
      </c>
      <c r="F196" s="6">
        <v>-1.7119</v>
      </c>
      <c r="G196" s="6">
        <v>97.756</v>
      </c>
      <c r="H196" s="6">
        <v>27.210999999999999</v>
      </c>
      <c r="I196" s="6">
        <v>69.515000000000001</v>
      </c>
      <c r="J196" s="6">
        <v>542.48</v>
      </c>
      <c r="K196" s="6">
        <v>1.0645E-2</v>
      </c>
      <c r="L196" s="6">
        <v>65.167000000000002</v>
      </c>
      <c r="M196" s="6">
        <v>9.0147000000000005E-2</v>
      </c>
      <c r="N196" s="6">
        <v>3.1259999999999999E-3</v>
      </c>
      <c r="O196" s="6" t="s">
        <v>17</v>
      </c>
    </row>
    <row r="197" spans="1:15" ht="17" x14ac:dyDescent="0.35">
      <c r="A197" s="9">
        <v>105.15</v>
      </c>
      <c r="B197" s="11">
        <v>10.933</v>
      </c>
      <c r="C197" s="6">
        <v>23.436</v>
      </c>
      <c r="D197" s="6">
        <v>4.2668999999999999E-2</v>
      </c>
      <c r="E197" s="6">
        <v>-1.7528999999999999</v>
      </c>
      <c r="F197" s="6">
        <v>-1.7062999999999999</v>
      </c>
      <c r="G197" s="6">
        <v>97.807000000000002</v>
      </c>
      <c r="H197" s="6">
        <v>27.207000000000001</v>
      </c>
      <c r="I197" s="6">
        <v>69.608000000000004</v>
      </c>
      <c r="J197" s="6">
        <v>541.42999999999995</v>
      </c>
      <c r="K197" s="6">
        <v>1.0944000000000001E-2</v>
      </c>
      <c r="L197" s="6">
        <v>65.007000000000005</v>
      </c>
      <c r="M197" s="6">
        <v>8.9984999999999996E-2</v>
      </c>
      <c r="N197" s="6">
        <v>3.1109000000000002E-3</v>
      </c>
      <c r="O197" s="6" t="s">
        <v>17</v>
      </c>
    </row>
    <row r="198" spans="1:15" ht="17" x14ac:dyDescent="0.35">
      <c r="A198" s="9">
        <v>105.23</v>
      </c>
      <c r="B198" s="11">
        <v>10.989000000000001</v>
      </c>
      <c r="C198" s="6">
        <v>23.417000000000002</v>
      </c>
      <c r="D198" s="6">
        <v>4.2705E-2</v>
      </c>
      <c r="E198" s="6">
        <v>-1.7475000000000001</v>
      </c>
      <c r="F198" s="6">
        <v>-1.7005999999999999</v>
      </c>
      <c r="G198" s="6">
        <v>97.858000000000004</v>
      </c>
      <c r="H198" s="6">
        <v>27.204000000000001</v>
      </c>
      <c r="I198" s="6">
        <v>69.701999999999998</v>
      </c>
      <c r="J198" s="6">
        <v>540.38</v>
      </c>
      <c r="K198" s="6">
        <v>1.1244000000000001E-2</v>
      </c>
      <c r="L198" s="6">
        <v>64.847999999999999</v>
      </c>
      <c r="M198" s="6">
        <v>8.9825000000000002E-2</v>
      </c>
      <c r="N198" s="6">
        <v>3.0959E-3</v>
      </c>
      <c r="O198" s="6" t="s">
        <v>17</v>
      </c>
    </row>
    <row r="199" spans="1:15" ht="17" x14ac:dyDescent="0.35">
      <c r="A199" s="9">
        <v>105.31</v>
      </c>
      <c r="B199" s="11">
        <v>11.045999999999999</v>
      </c>
      <c r="C199" s="6">
        <v>23.396999999999998</v>
      </c>
      <c r="D199" s="6">
        <v>4.2741000000000001E-2</v>
      </c>
      <c r="E199" s="6">
        <v>-1.7422</v>
      </c>
      <c r="F199" s="6">
        <v>-1.6950000000000001</v>
      </c>
      <c r="G199" s="6">
        <v>97.91</v>
      </c>
      <c r="H199" s="6">
        <v>27.2</v>
      </c>
      <c r="I199" s="6">
        <v>69.796000000000006</v>
      </c>
      <c r="J199" s="6">
        <v>539.33000000000004</v>
      </c>
      <c r="K199" s="6">
        <v>1.1545E-2</v>
      </c>
      <c r="L199" s="6">
        <v>64.69</v>
      </c>
      <c r="M199" s="6">
        <v>8.9664999999999995E-2</v>
      </c>
      <c r="N199" s="6">
        <v>3.0809000000000001E-3</v>
      </c>
      <c r="O199" s="6" t="s">
        <v>17</v>
      </c>
    </row>
    <row r="200" spans="1:15" ht="17" x14ac:dyDescent="0.35">
      <c r="A200" s="9">
        <v>105.39</v>
      </c>
      <c r="B200" s="11">
        <v>11.102</v>
      </c>
      <c r="C200" s="6">
        <v>23.376999999999999</v>
      </c>
      <c r="D200" s="6">
        <v>4.2777000000000003E-2</v>
      </c>
      <c r="E200" s="6">
        <v>-1.7369000000000001</v>
      </c>
      <c r="F200" s="6">
        <v>-1.6894</v>
      </c>
      <c r="G200" s="6">
        <v>97.960999999999999</v>
      </c>
      <c r="H200" s="6">
        <v>27.196000000000002</v>
      </c>
      <c r="I200" s="6">
        <v>69.89</v>
      </c>
      <c r="J200" s="6">
        <v>538.28</v>
      </c>
      <c r="K200" s="6">
        <v>1.1847E-2</v>
      </c>
      <c r="L200" s="6">
        <v>64.533000000000001</v>
      </c>
      <c r="M200" s="6">
        <v>8.9505000000000001E-2</v>
      </c>
      <c r="N200" s="6">
        <v>3.0661E-3</v>
      </c>
      <c r="O200" s="6" t="s">
        <v>17</v>
      </c>
    </row>
    <row r="201" spans="1:15" ht="17" x14ac:dyDescent="0.35">
      <c r="A201" s="9">
        <v>105.47</v>
      </c>
      <c r="B201" s="11">
        <v>11.157999999999999</v>
      </c>
      <c r="C201" s="6">
        <v>23.358000000000001</v>
      </c>
      <c r="D201" s="6">
        <v>4.2812000000000003E-2</v>
      </c>
      <c r="E201" s="6">
        <v>-1.7316</v>
      </c>
      <c r="F201" s="6">
        <v>-1.6838</v>
      </c>
      <c r="G201" s="6">
        <v>98.010999999999996</v>
      </c>
      <c r="H201" s="6">
        <v>27.192</v>
      </c>
      <c r="I201" s="6">
        <v>69.984999999999999</v>
      </c>
      <c r="J201" s="6">
        <v>537.24</v>
      </c>
      <c r="K201" s="6">
        <v>1.2149E-2</v>
      </c>
      <c r="L201" s="6">
        <v>64.376000000000005</v>
      </c>
      <c r="M201" s="6">
        <v>8.9346999999999996E-2</v>
      </c>
      <c r="N201" s="6">
        <v>3.0512E-3</v>
      </c>
      <c r="O201" s="6" t="s">
        <v>17</v>
      </c>
    </row>
    <row r="202" spans="1:15" ht="17" x14ac:dyDescent="0.35">
      <c r="A202" s="9">
        <v>105.55</v>
      </c>
      <c r="B202" s="11">
        <v>11.215</v>
      </c>
      <c r="C202" s="6">
        <v>23.338000000000001</v>
      </c>
      <c r="D202" s="6">
        <v>4.2847999999999997E-2</v>
      </c>
      <c r="E202" s="6">
        <v>-1.7262999999999999</v>
      </c>
      <c r="F202" s="6">
        <v>-1.6781999999999999</v>
      </c>
      <c r="G202" s="6">
        <v>98.061999999999998</v>
      </c>
      <c r="H202" s="6">
        <v>27.189</v>
      </c>
      <c r="I202" s="6">
        <v>70.08</v>
      </c>
      <c r="J202" s="6">
        <v>536.20000000000005</v>
      </c>
      <c r="K202" s="6">
        <v>1.2453000000000001E-2</v>
      </c>
      <c r="L202" s="6">
        <v>64.221000000000004</v>
      </c>
      <c r="M202" s="6">
        <v>8.9188000000000003E-2</v>
      </c>
      <c r="N202" s="6">
        <v>3.0365000000000001E-3</v>
      </c>
      <c r="O202" s="6" t="s">
        <v>17</v>
      </c>
    </row>
    <row r="203" spans="1:15" ht="17" x14ac:dyDescent="0.35">
      <c r="A203" s="9">
        <v>105.63</v>
      </c>
      <c r="B203" s="11">
        <v>11.271000000000001</v>
      </c>
      <c r="C203" s="6">
        <v>23.318999999999999</v>
      </c>
      <c r="D203" s="6">
        <v>4.2883999999999999E-2</v>
      </c>
      <c r="E203" s="6">
        <v>-1.7210000000000001</v>
      </c>
      <c r="F203" s="6">
        <v>-1.6726000000000001</v>
      </c>
      <c r="G203" s="6">
        <v>98.111999999999995</v>
      </c>
      <c r="H203" s="6">
        <v>27.184999999999999</v>
      </c>
      <c r="I203" s="6">
        <v>70.176000000000002</v>
      </c>
      <c r="J203" s="6">
        <v>535.16</v>
      </c>
      <c r="K203" s="6">
        <v>1.2756999999999999E-2</v>
      </c>
      <c r="L203" s="6">
        <v>64.066000000000003</v>
      </c>
      <c r="M203" s="6">
        <v>8.9030999999999999E-2</v>
      </c>
      <c r="N203" s="6">
        <v>3.0217999999999998E-3</v>
      </c>
      <c r="O203" s="6" t="s">
        <v>17</v>
      </c>
    </row>
    <row r="204" spans="1:15" ht="17" x14ac:dyDescent="0.35">
      <c r="A204" s="9">
        <v>105.71</v>
      </c>
      <c r="B204" s="11">
        <v>11.327</v>
      </c>
      <c r="C204" s="6">
        <v>23.298999999999999</v>
      </c>
      <c r="D204" s="6">
        <v>4.292E-2</v>
      </c>
      <c r="E204" s="6">
        <v>-1.7157</v>
      </c>
      <c r="F204" s="6">
        <v>-1.6671</v>
      </c>
      <c r="G204" s="6">
        <v>98.162999999999997</v>
      </c>
      <c r="H204" s="6">
        <v>27.181999999999999</v>
      </c>
      <c r="I204" s="6">
        <v>70.272000000000006</v>
      </c>
      <c r="J204" s="6">
        <v>534.13</v>
      </c>
      <c r="K204" s="6">
        <v>1.3063E-2</v>
      </c>
      <c r="L204" s="6">
        <v>63.911999999999999</v>
      </c>
      <c r="M204" s="6">
        <v>8.8873999999999995E-2</v>
      </c>
      <c r="N204" s="6">
        <v>3.0071999999999998E-3</v>
      </c>
      <c r="O204" s="6" t="s">
        <v>17</v>
      </c>
    </row>
    <row r="205" spans="1:15" ht="17" x14ac:dyDescent="0.35">
      <c r="A205" s="9">
        <v>105.79</v>
      </c>
      <c r="B205" s="11">
        <v>11.382999999999999</v>
      </c>
      <c r="C205" s="6">
        <v>23.28</v>
      </c>
      <c r="D205" s="6">
        <v>4.2956000000000001E-2</v>
      </c>
      <c r="E205" s="6">
        <v>-1.7103999999999999</v>
      </c>
      <c r="F205" s="6">
        <v>-1.6615</v>
      </c>
      <c r="G205" s="6">
        <v>98.212999999999994</v>
      </c>
      <c r="H205" s="6">
        <v>27.178000000000001</v>
      </c>
      <c r="I205" s="6">
        <v>70.369</v>
      </c>
      <c r="J205" s="6">
        <v>533.1</v>
      </c>
      <c r="K205" s="6">
        <v>1.3369000000000001E-2</v>
      </c>
      <c r="L205" s="6">
        <v>63.759</v>
      </c>
      <c r="M205" s="6">
        <v>8.8717000000000004E-2</v>
      </c>
      <c r="N205" s="6">
        <v>2.9926000000000002E-3</v>
      </c>
      <c r="O205" s="6" t="s">
        <v>17</v>
      </c>
    </row>
    <row r="206" spans="1:15" ht="17" x14ac:dyDescent="0.35">
      <c r="A206" s="9">
        <v>105.87</v>
      </c>
      <c r="B206" s="11">
        <v>11.44</v>
      </c>
      <c r="C206" s="6">
        <v>23.26</v>
      </c>
      <c r="D206" s="6">
        <v>4.2992000000000002E-2</v>
      </c>
      <c r="E206" s="6">
        <v>-1.7052</v>
      </c>
      <c r="F206" s="6">
        <v>-1.6559999999999999</v>
      </c>
      <c r="G206" s="6">
        <v>98.263000000000005</v>
      </c>
      <c r="H206" s="6">
        <v>27.175000000000001</v>
      </c>
      <c r="I206" s="6">
        <v>70.465999999999994</v>
      </c>
      <c r="J206" s="6">
        <v>532.07000000000005</v>
      </c>
      <c r="K206" s="6">
        <v>1.3676000000000001E-2</v>
      </c>
      <c r="L206" s="6">
        <v>63.606999999999999</v>
      </c>
      <c r="M206" s="6">
        <v>8.8561000000000001E-2</v>
      </c>
      <c r="N206" s="6">
        <v>2.9781999999999999E-3</v>
      </c>
      <c r="O206" s="6" t="s">
        <v>17</v>
      </c>
    </row>
    <row r="207" spans="1:15" ht="17" x14ac:dyDescent="0.35">
      <c r="A207" s="9">
        <v>105.95</v>
      </c>
      <c r="B207" s="11">
        <v>11.496</v>
      </c>
      <c r="C207" s="6">
        <v>23.241</v>
      </c>
      <c r="D207" s="6">
        <v>4.3027999999999997E-2</v>
      </c>
      <c r="E207" s="6">
        <v>-1.7</v>
      </c>
      <c r="F207" s="6">
        <v>-1.6505000000000001</v>
      </c>
      <c r="G207" s="6">
        <v>98.313000000000002</v>
      </c>
      <c r="H207" s="6">
        <v>27.172000000000001</v>
      </c>
      <c r="I207" s="6">
        <v>70.563000000000002</v>
      </c>
      <c r="J207" s="6">
        <v>531.04</v>
      </c>
      <c r="K207" s="6">
        <v>1.3984E-2</v>
      </c>
      <c r="L207" s="6">
        <v>63.454999999999998</v>
      </c>
      <c r="M207" s="6">
        <v>8.8405999999999998E-2</v>
      </c>
      <c r="N207" s="6">
        <v>2.9637000000000001E-3</v>
      </c>
      <c r="O207" s="6" t="s">
        <v>17</v>
      </c>
    </row>
    <row r="208" spans="1:15" ht="17" x14ac:dyDescent="0.35">
      <c r="A208" s="9">
        <v>106.03</v>
      </c>
      <c r="B208" s="11">
        <v>11.552</v>
      </c>
      <c r="C208" s="6">
        <v>23.221</v>
      </c>
      <c r="D208" s="6">
        <v>4.3063999999999998E-2</v>
      </c>
      <c r="E208" s="6">
        <v>-1.6947000000000001</v>
      </c>
      <c r="F208" s="6">
        <v>-1.645</v>
      </c>
      <c r="G208" s="6">
        <v>98.361999999999995</v>
      </c>
      <c r="H208" s="6">
        <v>27.167999999999999</v>
      </c>
      <c r="I208" s="6">
        <v>70.661000000000001</v>
      </c>
      <c r="J208" s="6">
        <v>530.01</v>
      </c>
      <c r="K208" s="6">
        <v>1.4293999999999999E-2</v>
      </c>
      <c r="L208" s="6">
        <v>63.305</v>
      </c>
      <c r="M208" s="6">
        <v>8.8250999999999996E-2</v>
      </c>
      <c r="N208" s="6">
        <v>2.9494E-3</v>
      </c>
      <c r="O208" s="6" t="s">
        <v>17</v>
      </c>
    </row>
    <row r="209" spans="1:15" ht="17" x14ac:dyDescent="0.35">
      <c r="A209" s="9">
        <v>106.11</v>
      </c>
      <c r="B209" s="11">
        <v>11.609</v>
      </c>
      <c r="C209" s="6">
        <v>23.202000000000002</v>
      </c>
      <c r="D209" s="6">
        <v>4.3099999999999999E-2</v>
      </c>
      <c r="E209" s="6">
        <v>-1.6895</v>
      </c>
      <c r="F209" s="6">
        <v>-1.6395</v>
      </c>
      <c r="G209" s="6">
        <v>98.412000000000006</v>
      </c>
      <c r="H209" s="6">
        <v>27.164999999999999</v>
      </c>
      <c r="I209" s="6">
        <v>70.759</v>
      </c>
      <c r="J209" s="6">
        <v>528.99</v>
      </c>
      <c r="K209" s="6">
        <v>1.4604000000000001E-2</v>
      </c>
      <c r="L209" s="6">
        <v>63.155000000000001</v>
      </c>
      <c r="M209" s="6">
        <v>8.8095999999999994E-2</v>
      </c>
      <c r="N209" s="6">
        <v>2.9350999999999999E-3</v>
      </c>
      <c r="O209" s="6" t="s">
        <v>17</v>
      </c>
    </row>
    <row r="210" spans="1:15" ht="17" x14ac:dyDescent="0.35">
      <c r="A210" s="9">
        <v>106.18</v>
      </c>
      <c r="B210" s="11">
        <v>11.664999999999999</v>
      </c>
      <c r="C210" s="6">
        <v>23.183</v>
      </c>
      <c r="D210" s="6">
        <v>4.3136000000000001E-2</v>
      </c>
      <c r="E210" s="6">
        <v>-1.6842999999999999</v>
      </c>
      <c r="F210" s="6">
        <v>-1.6339999999999999</v>
      </c>
      <c r="G210" s="6">
        <v>98.460999999999999</v>
      </c>
      <c r="H210" s="6">
        <v>27.161999999999999</v>
      </c>
      <c r="I210" s="6">
        <v>70.858000000000004</v>
      </c>
      <c r="J210" s="6">
        <v>527.97</v>
      </c>
      <c r="K210" s="6">
        <v>1.4914999999999999E-2</v>
      </c>
      <c r="L210" s="6">
        <v>63.006</v>
      </c>
      <c r="M210" s="6">
        <v>8.7942999999999993E-2</v>
      </c>
      <c r="N210" s="6">
        <v>2.9209000000000001E-3</v>
      </c>
      <c r="O210" s="6" t="s">
        <v>17</v>
      </c>
    </row>
    <row r="211" spans="1:15" ht="17" x14ac:dyDescent="0.35">
      <c r="A211" s="9">
        <v>106.26</v>
      </c>
      <c r="B211" s="11">
        <v>11.721</v>
      </c>
      <c r="C211" s="6">
        <v>23.163</v>
      </c>
      <c r="D211" s="6">
        <v>4.3172000000000002E-2</v>
      </c>
      <c r="E211" s="6">
        <v>-1.6792</v>
      </c>
      <c r="F211" s="6">
        <v>-1.6286</v>
      </c>
      <c r="G211" s="6">
        <v>98.51</v>
      </c>
      <c r="H211" s="6">
        <v>27.158999999999999</v>
      </c>
      <c r="I211" s="6">
        <v>70.956999999999994</v>
      </c>
      <c r="J211" s="6">
        <v>526.95000000000005</v>
      </c>
      <c r="K211" s="6">
        <v>1.5226999999999999E-2</v>
      </c>
      <c r="L211" s="6">
        <v>62.856999999999999</v>
      </c>
      <c r="M211" s="6">
        <v>8.7789000000000006E-2</v>
      </c>
      <c r="N211" s="6">
        <v>2.9066999999999999E-3</v>
      </c>
      <c r="O211" s="6" t="s">
        <v>17</v>
      </c>
    </row>
    <row r="212" spans="1:15" ht="17" x14ac:dyDescent="0.35">
      <c r="A212" s="9">
        <v>106.34</v>
      </c>
      <c r="B212" s="11">
        <v>11.778</v>
      </c>
      <c r="C212" s="6">
        <v>23.143999999999998</v>
      </c>
      <c r="D212" s="6">
        <v>4.3208000000000003E-2</v>
      </c>
      <c r="E212" s="6">
        <v>-1.6739999999999999</v>
      </c>
      <c r="F212" s="6">
        <v>-1.6231</v>
      </c>
      <c r="G212" s="6">
        <v>98.558999999999997</v>
      </c>
      <c r="H212" s="6">
        <v>27.155999999999999</v>
      </c>
      <c r="I212" s="6">
        <v>71.057000000000002</v>
      </c>
      <c r="J212" s="6">
        <v>525.92999999999995</v>
      </c>
      <c r="K212" s="6">
        <v>1.554E-2</v>
      </c>
      <c r="L212" s="6">
        <v>62.71</v>
      </c>
      <c r="M212" s="6">
        <v>8.7637000000000007E-2</v>
      </c>
      <c r="N212" s="6">
        <v>2.8925999999999999E-3</v>
      </c>
      <c r="O212" s="6" t="s">
        <v>17</v>
      </c>
    </row>
    <row r="213" spans="1:15" ht="17" x14ac:dyDescent="0.35">
      <c r="A213" s="9">
        <v>106.42</v>
      </c>
      <c r="B213" s="11">
        <v>11.834</v>
      </c>
      <c r="C213" s="6">
        <v>23.125</v>
      </c>
      <c r="D213" s="6">
        <v>4.3243999999999998E-2</v>
      </c>
      <c r="E213" s="6">
        <v>-1.6688000000000001</v>
      </c>
      <c r="F213" s="6">
        <v>-1.6176999999999999</v>
      </c>
      <c r="G213" s="6">
        <v>98.608000000000004</v>
      </c>
      <c r="H213" s="6">
        <v>27.152999999999999</v>
      </c>
      <c r="I213" s="6">
        <v>71.156999999999996</v>
      </c>
      <c r="J213" s="6">
        <v>524.91999999999996</v>
      </c>
      <c r="K213" s="6">
        <v>1.5854E-2</v>
      </c>
      <c r="L213" s="6">
        <v>62.563000000000002</v>
      </c>
      <c r="M213" s="6">
        <v>8.7484000000000006E-2</v>
      </c>
      <c r="N213" s="6">
        <v>2.8785999999999998E-3</v>
      </c>
      <c r="O213" s="6" t="s">
        <v>17</v>
      </c>
    </row>
    <row r="214" spans="1:15" ht="17" x14ac:dyDescent="0.35">
      <c r="A214" s="9">
        <v>106.49</v>
      </c>
      <c r="B214" s="11">
        <v>11.89</v>
      </c>
      <c r="C214" s="6">
        <v>23.105</v>
      </c>
      <c r="D214" s="6">
        <v>4.3279999999999999E-2</v>
      </c>
      <c r="E214" s="6">
        <v>-1.6637</v>
      </c>
      <c r="F214" s="6">
        <v>-1.6122000000000001</v>
      </c>
      <c r="G214" s="6">
        <v>98.656999999999996</v>
      </c>
      <c r="H214" s="6">
        <v>27.15</v>
      </c>
      <c r="I214" s="6">
        <v>71.257000000000005</v>
      </c>
      <c r="J214" s="6">
        <v>523.91</v>
      </c>
      <c r="K214" s="6">
        <v>1.6168999999999999E-2</v>
      </c>
      <c r="L214" s="6">
        <v>62.417000000000002</v>
      </c>
      <c r="M214" s="6">
        <v>8.7332999999999994E-2</v>
      </c>
      <c r="N214" s="6">
        <v>2.8646000000000001E-3</v>
      </c>
      <c r="O214" s="6" t="s">
        <v>17</v>
      </c>
    </row>
    <row r="215" spans="1:15" ht="17" x14ac:dyDescent="0.35">
      <c r="A215" s="9">
        <v>106.57</v>
      </c>
      <c r="B215" s="11">
        <v>11.946</v>
      </c>
      <c r="C215" s="6">
        <v>23.085999999999999</v>
      </c>
      <c r="D215" s="6">
        <v>4.3316E-2</v>
      </c>
      <c r="E215" s="6">
        <v>-1.6586000000000001</v>
      </c>
      <c r="F215" s="6">
        <v>-1.6068</v>
      </c>
      <c r="G215" s="6">
        <v>98.704999999999998</v>
      </c>
      <c r="H215" s="6">
        <v>27.146999999999998</v>
      </c>
      <c r="I215" s="6">
        <v>71.358000000000004</v>
      </c>
      <c r="J215" s="6">
        <v>522.9</v>
      </c>
      <c r="K215" s="6">
        <v>1.6485E-2</v>
      </c>
      <c r="L215" s="6">
        <v>62.271000000000001</v>
      </c>
      <c r="M215" s="6">
        <v>8.7180999999999995E-2</v>
      </c>
      <c r="N215" s="6">
        <v>2.8506999999999998E-3</v>
      </c>
      <c r="O215" s="6" t="s">
        <v>17</v>
      </c>
    </row>
    <row r="216" spans="1:15" ht="17" x14ac:dyDescent="0.35">
      <c r="A216" s="9">
        <v>106.65</v>
      </c>
      <c r="B216" s="11">
        <v>12.003</v>
      </c>
      <c r="C216" s="6">
        <v>23.067</v>
      </c>
      <c r="D216" s="6">
        <v>4.3352000000000002E-2</v>
      </c>
      <c r="E216" s="6">
        <v>-1.6534</v>
      </c>
      <c r="F216" s="6">
        <v>-1.6013999999999999</v>
      </c>
      <c r="G216" s="6">
        <v>98.754000000000005</v>
      </c>
      <c r="H216" s="6">
        <v>27.145</v>
      </c>
      <c r="I216" s="6">
        <v>71.459999999999994</v>
      </c>
      <c r="J216" s="6">
        <v>521.89</v>
      </c>
      <c r="K216" s="6">
        <v>1.6802000000000001E-2</v>
      </c>
      <c r="L216" s="6">
        <v>62.127000000000002</v>
      </c>
      <c r="M216" s="6">
        <v>8.7030999999999997E-2</v>
      </c>
      <c r="N216" s="6">
        <v>2.8368E-3</v>
      </c>
      <c r="O216" s="6" t="s">
        <v>17</v>
      </c>
    </row>
    <row r="217" spans="1:15" ht="17" x14ac:dyDescent="0.35">
      <c r="A217" s="9">
        <v>106.72</v>
      </c>
      <c r="B217" s="11">
        <v>12.058999999999999</v>
      </c>
      <c r="C217" s="6">
        <v>23.047999999999998</v>
      </c>
      <c r="D217" s="6">
        <v>4.3388000000000003E-2</v>
      </c>
      <c r="E217" s="6">
        <v>-1.6483000000000001</v>
      </c>
      <c r="F217" s="6">
        <v>-1.5960000000000001</v>
      </c>
      <c r="G217" s="6">
        <v>98.802000000000007</v>
      </c>
      <c r="H217" s="6">
        <v>27.141999999999999</v>
      </c>
      <c r="I217" s="6">
        <v>71.561999999999998</v>
      </c>
      <c r="J217" s="6">
        <v>520.88</v>
      </c>
      <c r="K217" s="6">
        <v>1.712E-2</v>
      </c>
      <c r="L217" s="6">
        <v>61.982999999999997</v>
      </c>
      <c r="M217" s="6">
        <v>8.6881E-2</v>
      </c>
      <c r="N217" s="6">
        <v>2.823E-3</v>
      </c>
      <c r="O217" s="6" t="s">
        <v>17</v>
      </c>
    </row>
    <row r="218" spans="1:15" ht="17" x14ac:dyDescent="0.35">
      <c r="A218" s="9">
        <v>106.8</v>
      </c>
      <c r="B218" s="11">
        <v>12.115</v>
      </c>
      <c r="C218" s="6">
        <v>23.029</v>
      </c>
      <c r="D218" s="6">
        <v>4.3423999999999997E-2</v>
      </c>
      <c r="E218" s="6">
        <v>-1.6433</v>
      </c>
      <c r="F218" s="6">
        <v>-1.5906</v>
      </c>
      <c r="G218" s="6">
        <v>98.85</v>
      </c>
      <c r="H218" s="6">
        <v>27.138999999999999</v>
      </c>
      <c r="I218" s="6">
        <v>71.664000000000001</v>
      </c>
      <c r="J218" s="6">
        <v>519.88</v>
      </c>
      <c r="K218" s="6">
        <v>1.7439E-2</v>
      </c>
      <c r="L218" s="6">
        <v>61.838999999999999</v>
      </c>
      <c r="M218" s="6">
        <v>8.6731000000000003E-2</v>
      </c>
      <c r="N218" s="6">
        <v>2.8092999999999998E-3</v>
      </c>
      <c r="O218" s="6" t="s">
        <v>17</v>
      </c>
    </row>
    <row r="219" spans="1:15" ht="17" x14ac:dyDescent="0.35">
      <c r="A219" s="9">
        <v>106.88</v>
      </c>
      <c r="B219" s="11">
        <v>12.172000000000001</v>
      </c>
      <c r="C219" s="6">
        <v>23.01</v>
      </c>
      <c r="D219" s="6">
        <v>4.3459999999999999E-2</v>
      </c>
      <c r="E219" s="6">
        <v>-1.6382000000000001</v>
      </c>
      <c r="F219" s="6">
        <v>-1.5852999999999999</v>
      </c>
      <c r="G219" s="6">
        <v>98.897999999999996</v>
      </c>
      <c r="H219" s="6">
        <v>27.137</v>
      </c>
      <c r="I219" s="6">
        <v>71.766999999999996</v>
      </c>
      <c r="J219" s="6">
        <v>518.88</v>
      </c>
      <c r="K219" s="6">
        <v>1.7759E-2</v>
      </c>
      <c r="L219" s="6">
        <v>61.697000000000003</v>
      </c>
      <c r="M219" s="6">
        <v>8.6582000000000006E-2</v>
      </c>
      <c r="N219" s="6">
        <v>2.7956000000000001E-3</v>
      </c>
      <c r="O219" s="6" t="s">
        <v>17</v>
      </c>
    </row>
    <row r="220" spans="1:15" ht="17" x14ac:dyDescent="0.35">
      <c r="A220" s="9">
        <v>106.95</v>
      </c>
      <c r="B220" s="11">
        <v>12.228</v>
      </c>
      <c r="C220" s="6">
        <v>22.99</v>
      </c>
      <c r="D220" s="6">
        <v>4.3496E-2</v>
      </c>
      <c r="E220" s="6">
        <v>-1.6331</v>
      </c>
      <c r="F220" s="6">
        <v>-1.5799000000000001</v>
      </c>
      <c r="G220" s="6">
        <v>98.945999999999998</v>
      </c>
      <c r="H220" s="6">
        <v>27.134</v>
      </c>
      <c r="I220" s="6">
        <v>71.87</v>
      </c>
      <c r="J220" s="6">
        <v>517.88</v>
      </c>
      <c r="K220" s="6">
        <v>1.8079999999999999E-2</v>
      </c>
      <c r="L220" s="6">
        <v>61.555</v>
      </c>
      <c r="M220" s="6">
        <v>8.6432999999999996E-2</v>
      </c>
      <c r="N220" s="6">
        <v>2.7820000000000002E-3</v>
      </c>
      <c r="O220" s="6" t="s">
        <v>17</v>
      </c>
    </row>
    <row r="221" spans="1:15" ht="17" x14ac:dyDescent="0.35">
      <c r="A221" s="9">
        <v>107.03</v>
      </c>
      <c r="B221" s="11">
        <v>12.284000000000001</v>
      </c>
      <c r="C221" s="6">
        <v>22.971</v>
      </c>
      <c r="D221" s="6">
        <v>4.3532000000000001E-2</v>
      </c>
      <c r="E221" s="6">
        <v>-1.6281000000000001</v>
      </c>
      <c r="F221" s="6">
        <v>-1.5746</v>
      </c>
      <c r="G221" s="6">
        <v>98.992999999999995</v>
      </c>
      <c r="H221" s="6">
        <v>27.132000000000001</v>
      </c>
      <c r="I221" s="6">
        <v>71.974000000000004</v>
      </c>
      <c r="J221" s="6">
        <v>516.88</v>
      </c>
      <c r="K221" s="6">
        <v>1.8402000000000002E-2</v>
      </c>
      <c r="L221" s="6">
        <v>61.414000000000001</v>
      </c>
      <c r="M221" s="6">
        <v>8.6285000000000001E-2</v>
      </c>
      <c r="N221" s="6">
        <v>2.7683999999999999E-3</v>
      </c>
      <c r="O221" s="6" t="s">
        <v>17</v>
      </c>
    </row>
    <row r="222" spans="1:15" ht="17" x14ac:dyDescent="0.35">
      <c r="A222" s="9">
        <v>107.1</v>
      </c>
      <c r="B222" s="11">
        <v>12.34</v>
      </c>
      <c r="C222" s="6">
        <v>22.952000000000002</v>
      </c>
      <c r="D222" s="6">
        <v>4.3568000000000003E-2</v>
      </c>
      <c r="E222" s="6">
        <v>-1.623</v>
      </c>
      <c r="F222" s="6">
        <v>-1.5691999999999999</v>
      </c>
      <c r="G222" s="6">
        <v>99.040999999999997</v>
      </c>
      <c r="H222" s="6">
        <v>27.13</v>
      </c>
      <c r="I222" s="6">
        <v>72.078000000000003</v>
      </c>
      <c r="J222" s="6">
        <v>515.89</v>
      </c>
      <c r="K222" s="6">
        <v>1.8724999999999999E-2</v>
      </c>
      <c r="L222" s="6">
        <v>61.273000000000003</v>
      </c>
      <c r="M222" s="6">
        <v>8.6137000000000005E-2</v>
      </c>
      <c r="N222" s="6">
        <v>2.7548999999999998E-3</v>
      </c>
      <c r="O222" s="6" t="s">
        <v>17</v>
      </c>
    </row>
    <row r="223" spans="1:15" ht="17" x14ac:dyDescent="0.35">
      <c r="A223" s="9">
        <v>107.18</v>
      </c>
      <c r="B223" s="11">
        <v>12.397</v>
      </c>
      <c r="C223" s="6">
        <v>22.933</v>
      </c>
      <c r="D223" s="6">
        <v>4.3604999999999998E-2</v>
      </c>
      <c r="E223" s="6">
        <v>-1.6180000000000001</v>
      </c>
      <c r="F223" s="6">
        <v>-1.5639000000000001</v>
      </c>
      <c r="G223" s="6">
        <v>99.087999999999994</v>
      </c>
      <c r="H223" s="6">
        <v>27.126999999999999</v>
      </c>
      <c r="I223" s="6">
        <v>72.183000000000007</v>
      </c>
      <c r="J223" s="6">
        <v>514.89</v>
      </c>
      <c r="K223" s="6">
        <v>1.9050000000000001E-2</v>
      </c>
      <c r="L223" s="6">
        <v>61.134</v>
      </c>
      <c r="M223" s="6">
        <v>8.5989999999999997E-2</v>
      </c>
      <c r="N223" s="6">
        <v>2.7414000000000002E-3</v>
      </c>
      <c r="O223" s="6" t="s">
        <v>17</v>
      </c>
    </row>
    <row r="224" spans="1:15" ht="17" x14ac:dyDescent="0.35">
      <c r="A224" s="9">
        <v>107.25</v>
      </c>
      <c r="B224" s="11">
        <v>12.452999999999999</v>
      </c>
      <c r="C224" s="6">
        <v>22.914000000000001</v>
      </c>
      <c r="D224" s="6">
        <v>4.3640999999999999E-2</v>
      </c>
      <c r="E224" s="6">
        <v>-1.613</v>
      </c>
      <c r="F224" s="6">
        <v>-1.5586</v>
      </c>
      <c r="G224" s="6">
        <v>99.135999999999996</v>
      </c>
      <c r="H224" s="6">
        <v>27.125</v>
      </c>
      <c r="I224" s="6">
        <v>72.287999999999997</v>
      </c>
      <c r="J224" s="6">
        <v>513.9</v>
      </c>
      <c r="K224" s="6">
        <v>1.9375E-2</v>
      </c>
      <c r="L224" s="6">
        <v>60.994</v>
      </c>
      <c r="M224" s="6">
        <v>8.5843000000000003E-2</v>
      </c>
      <c r="N224" s="6">
        <v>2.728E-3</v>
      </c>
      <c r="O224" s="6" t="s">
        <v>17</v>
      </c>
    </row>
    <row r="225" spans="1:15" ht="17" x14ac:dyDescent="0.35">
      <c r="A225" s="9">
        <v>107.33</v>
      </c>
      <c r="B225" s="11">
        <v>12.509</v>
      </c>
      <c r="C225" s="6">
        <v>22.895</v>
      </c>
      <c r="D225" s="6">
        <v>4.3677000000000001E-2</v>
      </c>
      <c r="E225" s="6">
        <v>-1.6080000000000001</v>
      </c>
      <c r="F225" s="6">
        <v>-1.5532999999999999</v>
      </c>
      <c r="G225" s="6">
        <v>99.183000000000007</v>
      </c>
      <c r="H225" s="6">
        <v>27.123000000000001</v>
      </c>
      <c r="I225" s="6">
        <v>72.394000000000005</v>
      </c>
      <c r="J225" s="6">
        <v>512.91</v>
      </c>
      <c r="K225" s="6">
        <v>1.9701E-2</v>
      </c>
      <c r="L225" s="6">
        <v>60.856000000000002</v>
      </c>
      <c r="M225" s="6">
        <v>8.5696999999999995E-2</v>
      </c>
      <c r="N225" s="6">
        <v>2.7147E-3</v>
      </c>
      <c r="O225" s="6" t="s">
        <v>17</v>
      </c>
    </row>
    <row r="226" spans="1:15" ht="17" x14ac:dyDescent="0.35">
      <c r="A226" s="9">
        <v>107.4</v>
      </c>
      <c r="B226" s="11">
        <v>12.566000000000001</v>
      </c>
      <c r="C226" s="6">
        <v>22.876000000000001</v>
      </c>
      <c r="D226" s="6">
        <v>4.3713000000000002E-2</v>
      </c>
      <c r="E226" s="6">
        <v>-1.603</v>
      </c>
      <c r="F226" s="6">
        <v>-1.548</v>
      </c>
      <c r="G226" s="6">
        <v>99.23</v>
      </c>
      <c r="H226" s="6">
        <v>27.120999999999999</v>
      </c>
      <c r="I226" s="6">
        <v>72.501000000000005</v>
      </c>
      <c r="J226" s="6">
        <v>511.92</v>
      </c>
      <c r="K226" s="6">
        <v>2.0029000000000002E-2</v>
      </c>
      <c r="L226" s="6">
        <v>60.718000000000004</v>
      </c>
      <c r="M226" s="6">
        <v>8.5551000000000002E-2</v>
      </c>
      <c r="N226" s="6">
        <v>2.7014000000000001E-3</v>
      </c>
      <c r="O226" s="6" t="s">
        <v>17</v>
      </c>
    </row>
    <row r="227" spans="1:15" ht="17" x14ac:dyDescent="0.35">
      <c r="A227" s="9">
        <v>107.47</v>
      </c>
      <c r="B227" s="11">
        <v>12.622</v>
      </c>
      <c r="C227" s="6">
        <v>22.856999999999999</v>
      </c>
      <c r="D227" s="6">
        <v>4.3749000000000003E-2</v>
      </c>
      <c r="E227" s="6">
        <v>-1.5980000000000001</v>
      </c>
      <c r="F227" s="6">
        <v>-1.5427</v>
      </c>
      <c r="G227" s="6">
        <v>99.275999999999996</v>
      </c>
      <c r="H227" s="6">
        <v>27.117999999999999</v>
      </c>
      <c r="I227" s="6">
        <v>72.606999999999999</v>
      </c>
      <c r="J227" s="6">
        <v>510.94</v>
      </c>
      <c r="K227" s="6">
        <v>2.0357E-2</v>
      </c>
      <c r="L227" s="6">
        <v>60.581000000000003</v>
      </c>
      <c r="M227" s="6">
        <v>8.5405999999999996E-2</v>
      </c>
      <c r="N227" s="6">
        <v>2.6882E-3</v>
      </c>
      <c r="O227" s="6" t="s">
        <v>17</v>
      </c>
    </row>
    <row r="228" spans="1:15" ht="17" x14ac:dyDescent="0.35">
      <c r="A228" s="9">
        <v>107.55</v>
      </c>
      <c r="B228" s="11">
        <v>12.678000000000001</v>
      </c>
      <c r="C228" s="6">
        <v>22.838999999999999</v>
      </c>
      <c r="D228" s="6">
        <v>4.3785999999999999E-2</v>
      </c>
      <c r="E228" s="6">
        <v>-1.593</v>
      </c>
      <c r="F228" s="6">
        <v>-1.5375000000000001</v>
      </c>
      <c r="G228" s="6">
        <v>99.322999999999993</v>
      </c>
      <c r="H228" s="6">
        <v>27.116</v>
      </c>
      <c r="I228" s="6">
        <v>72.715000000000003</v>
      </c>
      <c r="J228" s="6">
        <v>509.96</v>
      </c>
      <c r="K228" s="6">
        <v>2.0687000000000001E-2</v>
      </c>
      <c r="L228" s="6">
        <v>60.444000000000003</v>
      </c>
      <c r="M228" s="6">
        <v>8.5261000000000003E-2</v>
      </c>
      <c r="N228" s="6">
        <v>2.6749999999999999E-3</v>
      </c>
      <c r="O228" s="6" t="s">
        <v>17</v>
      </c>
    </row>
    <row r="229" spans="1:15" ht="17" x14ac:dyDescent="0.35">
      <c r="A229" s="9">
        <v>107.62</v>
      </c>
      <c r="B229" s="11">
        <v>12.734</v>
      </c>
      <c r="C229" s="6">
        <v>22.82</v>
      </c>
      <c r="D229" s="6">
        <v>4.3822E-2</v>
      </c>
      <c r="E229" s="6">
        <v>-1.5880000000000001</v>
      </c>
      <c r="F229" s="6">
        <v>-1.5322</v>
      </c>
      <c r="G229" s="6">
        <v>99.37</v>
      </c>
      <c r="H229" s="6">
        <v>27.114999999999998</v>
      </c>
      <c r="I229" s="6">
        <v>72.822999999999993</v>
      </c>
      <c r="J229" s="6">
        <v>508.97</v>
      </c>
      <c r="K229" s="6">
        <v>2.1017000000000001E-2</v>
      </c>
      <c r="L229" s="6">
        <v>60.308</v>
      </c>
      <c r="M229" s="6">
        <v>8.5116999999999998E-2</v>
      </c>
      <c r="N229" s="6">
        <v>2.6619E-3</v>
      </c>
      <c r="O229" s="6" t="s">
        <v>17</v>
      </c>
    </row>
    <row r="230" spans="1:15" ht="17" x14ac:dyDescent="0.35">
      <c r="A230" s="9">
        <v>107.69</v>
      </c>
      <c r="B230" s="11">
        <v>12.791</v>
      </c>
      <c r="C230" s="6">
        <v>22.800999999999998</v>
      </c>
      <c r="D230" s="6">
        <v>4.3858000000000001E-2</v>
      </c>
      <c r="E230" s="6">
        <v>-1.5831</v>
      </c>
      <c r="F230" s="6">
        <v>-1.5269999999999999</v>
      </c>
      <c r="G230" s="6">
        <v>99.415999999999997</v>
      </c>
      <c r="H230" s="6">
        <v>27.113</v>
      </c>
      <c r="I230" s="6">
        <v>72.930999999999997</v>
      </c>
      <c r="J230" s="6">
        <v>507.99</v>
      </c>
      <c r="K230" s="6">
        <v>2.1349E-2</v>
      </c>
      <c r="L230" s="6">
        <v>60.173000000000002</v>
      </c>
      <c r="M230" s="6">
        <v>8.4973000000000007E-2</v>
      </c>
      <c r="N230" s="6">
        <v>2.6488000000000002E-3</v>
      </c>
      <c r="O230" s="6" t="s">
        <v>17</v>
      </c>
    </row>
    <row r="231" spans="1:15" ht="17" x14ac:dyDescent="0.35">
      <c r="A231" s="9">
        <v>107.77</v>
      </c>
      <c r="B231" s="11">
        <v>12.847</v>
      </c>
      <c r="C231" s="6">
        <v>22.782</v>
      </c>
      <c r="D231" s="6">
        <v>4.3894000000000002E-2</v>
      </c>
      <c r="E231" s="6">
        <v>-1.5781000000000001</v>
      </c>
      <c r="F231" s="6">
        <v>-1.5217000000000001</v>
      </c>
      <c r="G231" s="6">
        <v>99.462000000000003</v>
      </c>
      <c r="H231" s="6">
        <v>27.111000000000001</v>
      </c>
      <c r="I231" s="6">
        <v>73.040000000000006</v>
      </c>
      <c r="J231" s="6">
        <v>507.02</v>
      </c>
      <c r="K231" s="6">
        <v>2.1682E-2</v>
      </c>
      <c r="L231" s="6">
        <v>60.037999999999997</v>
      </c>
      <c r="M231" s="6">
        <v>8.4829000000000002E-2</v>
      </c>
      <c r="N231" s="6">
        <v>2.6358000000000002E-3</v>
      </c>
      <c r="O231" s="6" t="s">
        <v>17</v>
      </c>
    </row>
    <row r="232" spans="1:15" ht="17" x14ac:dyDescent="0.35">
      <c r="A232" s="9">
        <v>107.84</v>
      </c>
      <c r="B232" s="11">
        <v>12.903</v>
      </c>
      <c r="C232" s="6">
        <v>22.763000000000002</v>
      </c>
      <c r="D232" s="6">
        <v>4.3930999999999998E-2</v>
      </c>
      <c r="E232" s="6">
        <v>-1.5731999999999999</v>
      </c>
      <c r="F232" s="6">
        <v>-1.5165</v>
      </c>
      <c r="G232" s="6">
        <v>99.509</v>
      </c>
      <c r="H232" s="6">
        <v>27.109000000000002</v>
      </c>
      <c r="I232" s="6">
        <v>73.149000000000001</v>
      </c>
      <c r="J232" s="6">
        <v>506.04</v>
      </c>
      <c r="K232" s="6">
        <v>2.2016000000000001E-2</v>
      </c>
      <c r="L232" s="6">
        <v>59.904000000000003</v>
      </c>
      <c r="M232" s="6">
        <v>8.4685999999999997E-2</v>
      </c>
      <c r="N232" s="6">
        <v>2.6229000000000001E-3</v>
      </c>
      <c r="O232" s="6" t="s">
        <v>17</v>
      </c>
    </row>
    <row r="233" spans="1:15" ht="17" x14ac:dyDescent="0.35">
      <c r="A233" s="9">
        <v>107.91</v>
      </c>
      <c r="B233" s="11">
        <v>12.96</v>
      </c>
      <c r="C233" s="6">
        <v>22.744</v>
      </c>
      <c r="D233" s="6">
        <v>4.3966999999999999E-2</v>
      </c>
      <c r="E233" s="6">
        <v>-1.5683</v>
      </c>
      <c r="F233" s="6">
        <v>-1.5113000000000001</v>
      </c>
      <c r="G233" s="6">
        <v>99.555000000000007</v>
      </c>
      <c r="H233" s="6">
        <v>27.106999999999999</v>
      </c>
      <c r="I233" s="6">
        <v>73.259</v>
      </c>
      <c r="J233" s="6">
        <v>505.07</v>
      </c>
      <c r="K233" s="6">
        <v>2.2350999999999999E-2</v>
      </c>
      <c r="L233" s="6">
        <v>59.771000000000001</v>
      </c>
      <c r="M233" s="6">
        <v>8.4543999999999994E-2</v>
      </c>
      <c r="N233" s="6">
        <v>2.6099999999999999E-3</v>
      </c>
      <c r="O233" s="6" t="s">
        <v>17</v>
      </c>
    </row>
    <row r="234" spans="1:15" ht="17" x14ac:dyDescent="0.35">
      <c r="A234" s="9">
        <v>107.98</v>
      </c>
      <c r="B234" s="11">
        <v>13.016</v>
      </c>
      <c r="C234" s="6">
        <v>22.725000000000001</v>
      </c>
      <c r="D234" s="6">
        <v>4.4003E-2</v>
      </c>
      <c r="E234" s="6">
        <v>-1.5633999999999999</v>
      </c>
      <c r="F234" s="6">
        <v>-1.5061</v>
      </c>
      <c r="G234" s="6">
        <v>99.600999999999999</v>
      </c>
      <c r="H234" s="6">
        <v>27.106000000000002</v>
      </c>
      <c r="I234" s="6">
        <v>73.37</v>
      </c>
      <c r="J234" s="6">
        <v>504.09</v>
      </c>
      <c r="K234" s="6">
        <v>2.2686999999999999E-2</v>
      </c>
      <c r="L234" s="6">
        <v>59.637999999999998</v>
      </c>
      <c r="M234" s="6">
        <v>8.4401000000000004E-2</v>
      </c>
      <c r="N234" s="6">
        <v>2.5971000000000002E-3</v>
      </c>
      <c r="O234" s="6" t="s">
        <v>17</v>
      </c>
    </row>
    <row r="235" spans="1:15" ht="17" x14ac:dyDescent="0.35">
      <c r="A235" s="9">
        <v>108.06</v>
      </c>
      <c r="B235" s="11">
        <v>13.071999999999999</v>
      </c>
      <c r="C235" s="6">
        <v>22.707000000000001</v>
      </c>
      <c r="D235" s="6">
        <v>4.4040000000000003E-2</v>
      </c>
      <c r="E235" s="6">
        <v>-1.5585</v>
      </c>
      <c r="F235" s="6">
        <v>-1.5008999999999999</v>
      </c>
      <c r="G235" s="6">
        <v>99.646000000000001</v>
      </c>
      <c r="H235" s="6">
        <v>27.103999999999999</v>
      </c>
      <c r="I235" s="6">
        <v>73.480999999999995</v>
      </c>
      <c r="J235" s="6">
        <v>503.12</v>
      </c>
      <c r="K235" s="6">
        <v>2.3025E-2</v>
      </c>
      <c r="L235" s="6">
        <v>59.505000000000003</v>
      </c>
      <c r="M235" s="6">
        <v>8.4260000000000002E-2</v>
      </c>
      <c r="N235" s="6">
        <v>2.5842999999999999E-3</v>
      </c>
      <c r="O235" s="6" t="s">
        <v>17</v>
      </c>
    </row>
    <row r="236" spans="1:15" ht="17" x14ac:dyDescent="0.35">
      <c r="A236" s="9">
        <v>108.13</v>
      </c>
      <c r="B236" s="11">
        <v>13.128</v>
      </c>
      <c r="C236" s="6">
        <v>22.687999999999999</v>
      </c>
      <c r="D236" s="6">
        <v>4.4075999999999997E-2</v>
      </c>
      <c r="E236" s="6">
        <v>-1.5536000000000001</v>
      </c>
      <c r="F236" s="6">
        <v>-1.4957</v>
      </c>
      <c r="G236" s="6">
        <v>99.691999999999993</v>
      </c>
      <c r="H236" s="6">
        <v>27.102</v>
      </c>
      <c r="I236" s="6">
        <v>73.591999999999999</v>
      </c>
      <c r="J236" s="6">
        <v>502.15</v>
      </c>
      <c r="K236" s="6">
        <v>2.3362999999999998E-2</v>
      </c>
      <c r="L236" s="6">
        <v>59.372999999999998</v>
      </c>
      <c r="M236" s="6">
        <v>8.4117999999999998E-2</v>
      </c>
      <c r="N236" s="6">
        <v>2.5715999999999998E-3</v>
      </c>
      <c r="O236" s="6" t="s">
        <v>17</v>
      </c>
    </row>
    <row r="237" spans="1:15" ht="17" x14ac:dyDescent="0.35">
      <c r="A237" s="9">
        <v>108.2</v>
      </c>
      <c r="B237" s="11">
        <v>13.185</v>
      </c>
      <c r="C237" s="6">
        <v>22.669</v>
      </c>
      <c r="D237" s="6">
        <v>4.4112999999999999E-2</v>
      </c>
      <c r="E237" s="6">
        <v>-1.5487</v>
      </c>
      <c r="F237" s="6">
        <v>-1.4904999999999999</v>
      </c>
      <c r="G237" s="6">
        <v>99.738</v>
      </c>
      <c r="H237" s="6">
        <v>27.100999999999999</v>
      </c>
      <c r="I237" s="6">
        <v>73.703999999999994</v>
      </c>
      <c r="J237" s="6">
        <v>501.19</v>
      </c>
      <c r="K237" s="6">
        <v>2.3702999999999998E-2</v>
      </c>
      <c r="L237" s="6">
        <v>59.241999999999997</v>
      </c>
      <c r="M237" s="6">
        <v>8.3977999999999997E-2</v>
      </c>
      <c r="N237" s="6">
        <v>2.5588999999999998E-3</v>
      </c>
      <c r="O237" s="6" t="s">
        <v>17</v>
      </c>
    </row>
    <row r="238" spans="1:15" ht="17" x14ac:dyDescent="0.35">
      <c r="A238" s="9">
        <v>108.27</v>
      </c>
      <c r="B238" s="11">
        <v>13.241</v>
      </c>
      <c r="C238" s="6">
        <v>22.65</v>
      </c>
      <c r="D238" s="6">
        <v>4.4149000000000001E-2</v>
      </c>
      <c r="E238" s="6">
        <v>-1.5438000000000001</v>
      </c>
      <c r="F238" s="6">
        <v>-1.4854000000000001</v>
      </c>
      <c r="G238" s="6">
        <v>99.783000000000001</v>
      </c>
      <c r="H238" s="6">
        <v>27.099</v>
      </c>
      <c r="I238" s="6">
        <v>73.816999999999993</v>
      </c>
      <c r="J238" s="6">
        <v>500.22</v>
      </c>
      <c r="K238" s="6">
        <v>2.4042999999999998E-2</v>
      </c>
      <c r="L238" s="6">
        <v>59.112000000000002</v>
      </c>
      <c r="M238" s="6">
        <v>8.3836999999999995E-2</v>
      </c>
      <c r="N238" s="6">
        <v>2.5463E-3</v>
      </c>
      <c r="O238" s="6" t="s">
        <v>17</v>
      </c>
    </row>
    <row r="239" spans="1:15" ht="17" x14ac:dyDescent="0.35">
      <c r="A239" s="9">
        <v>108.34</v>
      </c>
      <c r="B239" s="11">
        <v>13.297000000000001</v>
      </c>
      <c r="C239" s="6">
        <v>22.632000000000001</v>
      </c>
      <c r="D239" s="6">
        <v>4.4186000000000003E-2</v>
      </c>
      <c r="E239" s="6">
        <v>-1.5389999999999999</v>
      </c>
      <c r="F239" s="6">
        <v>-1.4802</v>
      </c>
      <c r="G239" s="6">
        <v>99.828000000000003</v>
      </c>
      <c r="H239" s="6">
        <v>27.097999999999999</v>
      </c>
      <c r="I239" s="6">
        <v>73.930000000000007</v>
      </c>
      <c r="J239" s="6">
        <v>499.26</v>
      </c>
      <c r="K239" s="6">
        <v>2.4385E-2</v>
      </c>
      <c r="L239" s="6">
        <v>58.981999999999999</v>
      </c>
      <c r="M239" s="6">
        <v>8.3696999999999994E-2</v>
      </c>
      <c r="N239" s="6">
        <v>2.5336999999999998E-3</v>
      </c>
      <c r="O239" s="6" t="s">
        <v>17</v>
      </c>
    </row>
    <row r="240" spans="1:15" ht="17" x14ac:dyDescent="0.35">
      <c r="A240" s="9">
        <v>108.41</v>
      </c>
      <c r="B240" s="11">
        <v>13.353999999999999</v>
      </c>
      <c r="C240" s="6">
        <v>22.613</v>
      </c>
      <c r="D240" s="6">
        <v>4.4221999999999997E-2</v>
      </c>
      <c r="E240" s="6">
        <v>-1.5341</v>
      </c>
      <c r="F240" s="6">
        <v>-1.4751000000000001</v>
      </c>
      <c r="G240" s="6">
        <v>99.873999999999995</v>
      </c>
      <c r="H240" s="6">
        <v>27.097000000000001</v>
      </c>
      <c r="I240" s="6">
        <v>74.043999999999997</v>
      </c>
      <c r="J240" s="6">
        <v>498.29</v>
      </c>
      <c r="K240" s="6">
        <v>2.4728E-2</v>
      </c>
      <c r="L240" s="6">
        <v>58.851999999999997</v>
      </c>
      <c r="M240" s="6">
        <v>8.3557999999999993E-2</v>
      </c>
      <c r="N240" s="6">
        <v>2.5211000000000001E-3</v>
      </c>
      <c r="O240" s="6" t="s">
        <v>17</v>
      </c>
    </row>
    <row r="241" spans="1:15" ht="17" x14ac:dyDescent="0.35">
      <c r="A241" s="9">
        <v>108.48</v>
      </c>
      <c r="B241" s="11">
        <v>13.41</v>
      </c>
      <c r="C241" s="6">
        <v>22.594000000000001</v>
      </c>
      <c r="D241" s="6">
        <v>4.4259E-2</v>
      </c>
      <c r="E241" s="6">
        <v>-1.5293000000000001</v>
      </c>
      <c r="F241" s="6">
        <v>-1.4699</v>
      </c>
      <c r="G241" s="6">
        <v>99.918999999999997</v>
      </c>
      <c r="H241" s="6">
        <v>27.094999999999999</v>
      </c>
      <c r="I241" s="6">
        <v>74.158000000000001</v>
      </c>
      <c r="J241" s="6">
        <v>497.33</v>
      </c>
      <c r="K241" s="6">
        <v>2.5073000000000002E-2</v>
      </c>
      <c r="L241" s="6">
        <v>58.722999999999999</v>
      </c>
      <c r="M241" s="6">
        <v>8.3418999999999993E-2</v>
      </c>
      <c r="N241" s="6">
        <v>2.5086000000000002E-3</v>
      </c>
      <c r="O241" s="6" t="s">
        <v>17</v>
      </c>
    </row>
    <row r="242" spans="1:15" ht="17" x14ac:dyDescent="0.35">
      <c r="A242" s="9">
        <v>108.55</v>
      </c>
      <c r="B242" s="11">
        <v>13.465999999999999</v>
      </c>
      <c r="C242" s="6">
        <v>22.576000000000001</v>
      </c>
      <c r="D242" s="6">
        <v>4.4295000000000001E-2</v>
      </c>
      <c r="E242" s="6">
        <v>-1.5245</v>
      </c>
      <c r="F242" s="6">
        <v>-1.4648000000000001</v>
      </c>
      <c r="G242" s="6">
        <v>99.963999999999999</v>
      </c>
      <c r="H242" s="6">
        <v>27.094000000000001</v>
      </c>
      <c r="I242" s="6">
        <v>74.272999999999996</v>
      </c>
      <c r="J242" s="6">
        <v>496.37</v>
      </c>
      <c r="K242" s="6">
        <v>2.5418E-2</v>
      </c>
      <c r="L242" s="6">
        <v>58.594999999999999</v>
      </c>
      <c r="M242" s="6">
        <v>8.3280000000000007E-2</v>
      </c>
      <c r="N242" s="6">
        <v>2.4962000000000001E-3</v>
      </c>
      <c r="O242" s="6" t="s">
        <v>17</v>
      </c>
    </row>
    <row r="243" spans="1:15" ht="17" x14ac:dyDescent="0.35">
      <c r="A243" s="9">
        <v>108.62</v>
      </c>
      <c r="B243" s="11">
        <v>13.523</v>
      </c>
      <c r="C243" s="6">
        <v>22.556999999999999</v>
      </c>
      <c r="D243" s="6">
        <v>4.4332000000000003E-2</v>
      </c>
      <c r="E243" s="6">
        <v>-1.5196000000000001</v>
      </c>
      <c r="F243" s="6">
        <v>-1.4597</v>
      </c>
      <c r="G243" s="6">
        <v>100.01</v>
      </c>
      <c r="H243" s="6">
        <v>27.093</v>
      </c>
      <c r="I243" s="6">
        <v>74.388999999999996</v>
      </c>
      <c r="J243" s="6">
        <v>495.42</v>
      </c>
      <c r="K243" s="6">
        <v>2.5765E-2</v>
      </c>
      <c r="L243" s="6">
        <v>58.466999999999999</v>
      </c>
      <c r="M243" s="6">
        <v>8.3141999999999994E-2</v>
      </c>
      <c r="N243" s="6">
        <v>2.4838E-3</v>
      </c>
      <c r="O243" s="6" t="s">
        <v>17</v>
      </c>
    </row>
    <row r="244" spans="1:15" ht="17" x14ac:dyDescent="0.35">
      <c r="A244" s="9">
        <v>108.69</v>
      </c>
      <c r="B244" s="11">
        <v>13.579000000000001</v>
      </c>
      <c r="C244" s="6">
        <v>22.539000000000001</v>
      </c>
      <c r="D244" s="6">
        <v>4.4368999999999999E-2</v>
      </c>
      <c r="E244" s="6">
        <v>-1.5147999999999999</v>
      </c>
      <c r="F244" s="6">
        <v>-1.4545999999999999</v>
      </c>
      <c r="G244" s="6">
        <v>100.05</v>
      </c>
      <c r="H244" s="6">
        <v>27.091999999999999</v>
      </c>
      <c r="I244" s="6">
        <v>74.504999999999995</v>
      </c>
      <c r="J244" s="6">
        <v>494.46</v>
      </c>
      <c r="K244" s="6">
        <v>2.6113000000000001E-2</v>
      </c>
      <c r="L244" s="6">
        <v>58.338999999999999</v>
      </c>
      <c r="M244" s="6">
        <v>8.3003999999999994E-2</v>
      </c>
      <c r="N244" s="6">
        <v>2.4715000000000002E-3</v>
      </c>
      <c r="O244" s="6" t="s">
        <v>17</v>
      </c>
    </row>
    <row r="245" spans="1:15" ht="17" x14ac:dyDescent="0.35">
      <c r="A245" s="9">
        <v>108.76</v>
      </c>
      <c r="B245" s="11">
        <v>13.635</v>
      </c>
      <c r="C245" s="6">
        <v>22.52</v>
      </c>
      <c r="D245" s="6">
        <v>4.4405E-2</v>
      </c>
      <c r="E245" s="6">
        <v>-1.51</v>
      </c>
      <c r="F245" s="6">
        <v>-1.4495</v>
      </c>
      <c r="G245" s="6">
        <v>100.1</v>
      </c>
      <c r="H245" s="6">
        <v>27.091000000000001</v>
      </c>
      <c r="I245" s="6">
        <v>74.620999999999995</v>
      </c>
      <c r="J245" s="6">
        <v>493.51</v>
      </c>
      <c r="K245" s="6">
        <v>2.6461999999999999E-2</v>
      </c>
      <c r="L245" s="6">
        <v>58.213000000000001</v>
      </c>
      <c r="M245" s="6">
        <v>8.2865999999999995E-2</v>
      </c>
      <c r="N245" s="6">
        <v>2.4591999999999999E-3</v>
      </c>
      <c r="O245" s="6" t="s">
        <v>17</v>
      </c>
    </row>
    <row r="246" spans="1:15" ht="17" x14ac:dyDescent="0.35">
      <c r="A246" s="9">
        <v>108.83</v>
      </c>
      <c r="B246" s="11">
        <v>13.691000000000001</v>
      </c>
      <c r="C246" s="6">
        <v>22.501000000000001</v>
      </c>
      <c r="D246" s="6">
        <v>4.4442000000000002E-2</v>
      </c>
      <c r="E246" s="6">
        <v>-1.5052000000000001</v>
      </c>
      <c r="F246" s="6">
        <v>-1.4443999999999999</v>
      </c>
      <c r="G246" s="6">
        <v>100.14</v>
      </c>
      <c r="H246" s="6">
        <v>27.09</v>
      </c>
      <c r="I246" s="6">
        <v>74.738</v>
      </c>
      <c r="J246" s="6">
        <v>492.56</v>
      </c>
      <c r="K246" s="6">
        <v>2.6811999999999999E-2</v>
      </c>
      <c r="L246" s="6">
        <v>58.085999999999999</v>
      </c>
      <c r="M246" s="6">
        <v>8.2728999999999997E-2</v>
      </c>
      <c r="N246" s="6">
        <v>2.4469000000000001E-3</v>
      </c>
      <c r="O246" s="6" t="s">
        <v>17</v>
      </c>
    </row>
    <row r="247" spans="1:15" ht="17" x14ac:dyDescent="0.35">
      <c r="A247" s="9">
        <v>108.9</v>
      </c>
      <c r="B247" s="11">
        <v>13.747999999999999</v>
      </c>
      <c r="C247" s="6">
        <v>22.483000000000001</v>
      </c>
      <c r="D247" s="6">
        <v>4.4478999999999998E-2</v>
      </c>
      <c r="E247" s="6">
        <v>-1.5004999999999999</v>
      </c>
      <c r="F247" s="6">
        <v>-1.4393</v>
      </c>
      <c r="G247" s="6">
        <v>100.19</v>
      </c>
      <c r="H247" s="6">
        <v>27.088999999999999</v>
      </c>
      <c r="I247" s="6">
        <v>74.855999999999995</v>
      </c>
      <c r="J247" s="6">
        <v>491.61</v>
      </c>
      <c r="K247" s="6">
        <v>2.7163E-2</v>
      </c>
      <c r="L247" s="6">
        <v>57.96</v>
      </c>
      <c r="M247" s="6">
        <v>8.2593E-2</v>
      </c>
      <c r="N247" s="6">
        <v>2.4347000000000001E-3</v>
      </c>
      <c r="O247" s="6" t="s">
        <v>17</v>
      </c>
    </row>
    <row r="248" spans="1:15" ht="17" x14ac:dyDescent="0.35">
      <c r="A248" s="9">
        <v>108.97</v>
      </c>
      <c r="B248" s="11">
        <v>13.804</v>
      </c>
      <c r="C248" s="6">
        <v>22.463999999999999</v>
      </c>
      <c r="D248" s="6">
        <v>4.4514999999999999E-2</v>
      </c>
      <c r="E248" s="6">
        <v>-1.4957</v>
      </c>
      <c r="F248" s="6">
        <v>-1.4341999999999999</v>
      </c>
      <c r="G248" s="6">
        <v>100.23</v>
      </c>
      <c r="H248" s="6">
        <v>27.088000000000001</v>
      </c>
      <c r="I248" s="6">
        <v>74.974999999999994</v>
      </c>
      <c r="J248" s="6">
        <v>490.66</v>
      </c>
      <c r="K248" s="6">
        <v>2.7515999999999999E-2</v>
      </c>
      <c r="L248" s="6">
        <v>57.835000000000001</v>
      </c>
      <c r="M248" s="6">
        <v>8.2457000000000003E-2</v>
      </c>
      <c r="N248" s="6">
        <v>2.4226E-3</v>
      </c>
      <c r="O248" s="6" t="s">
        <v>17</v>
      </c>
    </row>
    <row r="249" spans="1:15" ht="17" x14ac:dyDescent="0.35">
      <c r="A249" s="9">
        <v>109.04</v>
      </c>
      <c r="B249" s="11">
        <v>13.86</v>
      </c>
      <c r="C249" s="6">
        <v>22.446000000000002</v>
      </c>
      <c r="D249" s="6">
        <v>4.4552000000000001E-2</v>
      </c>
      <c r="E249" s="6">
        <v>-1.4908999999999999</v>
      </c>
      <c r="F249" s="6">
        <v>-1.4292</v>
      </c>
      <c r="G249" s="6">
        <v>100.28</v>
      </c>
      <c r="H249" s="6">
        <v>27.087</v>
      </c>
      <c r="I249" s="6">
        <v>75.093999999999994</v>
      </c>
      <c r="J249" s="6">
        <v>489.71</v>
      </c>
      <c r="K249" s="6">
        <v>2.7869999999999999E-2</v>
      </c>
      <c r="L249" s="6">
        <v>57.71</v>
      </c>
      <c r="M249" s="6">
        <v>8.2321000000000005E-2</v>
      </c>
      <c r="N249" s="6">
        <v>2.4104999999999999E-3</v>
      </c>
      <c r="O249" s="6" t="s">
        <v>17</v>
      </c>
    </row>
    <row r="250" spans="1:15" ht="17" x14ac:dyDescent="0.35">
      <c r="A250" s="9">
        <v>109.11</v>
      </c>
      <c r="B250" s="11">
        <v>13.917</v>
      </c>
      <c r="C250" s="6">
        <v>22.427</v>
      </c>
      <c r="D250" s="6">
        <v>4.4588999999999997E-2</v>
      </c>
      <c r="E250" s="6">
        <v>-1.4862</v>
      </c>
      <c r="F250" s="6">
        <v>-1.4240999999999999</v>
      </c>
      <c r="G250" s="6">
        <v>100.32</v>
      </c>
      <c r="H250" s="6">
        <v>27.087</v>
      </c>
      <c r="I250" s="6">
        <v>75.212999999999994</v>
      </c>
      <c r="J250" s="6">
        <v>488.76</v>
      </c>
      <c r="K250" s="6">
        <v>2.8225E-2</v>
      </c>
      <c r="L250" s="6">
        <v>57.585999999999999</v>
      </c>
      <c r="M250" s="6">
        <v>8.2184999999999994E-2</v>
      </c>
      <c r="N250" s="6">
        <v>2.3984000000000002E-3</v>
      </c>
      <c r="O250" s="6" t="s">
        <v>17</v>
      </c>
    </row>
    <row r="251" spans="1:15" ht="17" x14ac:dyDescent="0.35">
      <c r="A251" s="9">
        <v>109.18</v>
      </c>
      <c r="B251" s="11">
        <v>13.973000000000001</v>
      </c>
      <c r="C251" s="6">
        <v>22.408999999999999</v>
      </c>
      <c r="D251" s="6">
        <v>4.4625999999999999E-2</v>
      </c>
      <c r="E251" s="6">
        <v>-1.4814000000000001</v>
      </c>
      <c r="F251" s="6">
        <v>-1.4191</v>
      </c>
      <c r="G251" s="6">
        <v>100.36</v>
      </c>
      <c r="H251" s="6">
        <v>27.085999999999999</v>
      </c>
      <c r="I251" s="6">
        <v>75.334000000000003</v>
      </c>
      <c r="J251" s="6">
        <v>487.82</v>
      </c>
      <c r="K251" s="6">
        <v>2.8580999999999999E-2</v>
      </c>
      <c r="L251" s="6">
        <v>57.462000000000003</v>
      </c>
      <c r="M251" s="6">
        <v>8.2049999999999998E-2</v>
      </c>
      <c r="N251" s="6">
        <v>2.3863999999999999E-3</v>
      </c>
      <c r="O251" s="6" t="s">
        <v>17</v>
      </c>
    </row>
    <row r="252" spans="1:15" ht="17" x14ac:dyDescent="0.35">
      <c r="A252" s="9">
        <v>109.25</v>
      </c>
      <c r="B252" s="11">
        <v>14.029</v>
      </c>
      <c r="C252" s="6">
        <v>22.39</v>
      </c>
      <c r="D252" s="6">
        <v>4.4663000000000001E-2</v>
      </c>
      <c r="E252" s="6">
        <v>-1.4766999999999999</v>
      </c>
      <c r="F252" s="6">
        <v>-1.4139999999999999</v>
      </c>
      <c r="G252" s="6">
        <v>100.41</v>
      </c>
      <c r="H252" s="6">
        <v>27.085000000000001</v>
      </c>
      <c r="I252" s="6">
        <v>75.454999999999998</v>
      </c>
      <c r="J252" s="6">
        <v>486.88</v>
      </c>
      <c r="K252" s="6">
        <v>2.8938999999999999E-2</v>
      </c>
      <c r="L252" s="6">
        <v>57.338999999999999</v>
      </c>
      <c r="M252" s="6">
        <v>8.1916000000000003E-2</v>
      </c>
      <c r="N252" s="6">
        <v>2.3744E-3</v>
      </c>
      <c r="O252" s="6" t="s">
        <v>17</v>
      </c>
    </row>
    <row r="253" spans="1:15" ht="17" x14ac:dyDescent="0.35">
      <c r="A253" s="9">
        <v>109.32</v>
      </c>
      <c r="B253" s="11">
        <v>14.085000000000001</v>
      </c>
      <c r="C253" s="6">
        <v>22.372</v>
      </c>
      <c r="D253" s="6">
        <v>4.4699999999999997E-2</v>
      </c>
      <c r="E253" s="6">
        <v>-1.472</v>
      </c>
      <c r="F253" s="6">
        <v>-1.409</v>
      </c>
      <c r="G253" s="6">
        <v>100.45</v>
      </c>
      <c r="H253" s="6">
        <v>27.085000000000001</v>
      </c>
      <c r="I253" s="6">
        <v>75.575999999999993</v>
      </c>
      <c r="J253" s="6">
        <v>485.93</v>
      </c>
      <c r="K253" s="6">
        <v>2.9298000000000001E-2</v>
      </c>
      <c r="L253" s="6">
        <v>57.216000000000001</v>
      </c>
      <c r="M253" s="6">
        <v>8.1781000000000006E-2</v>
      </c>
      <c r="N253" s="6">
        <v>2.3625E-3</v>
      </c>
      <c r="O253" s="6" t="s">
        <v>17</v>
      </c>
    </row>
    <row r="254" spans="1:15" ht="17" x14ac:dyDescent="0.35">
      <c r="A254" s="9">
        <v>109.38</v>
      </c>
      <c r="B254" s="11">
        <v>14.141999999999999</v>
      </c>
      <c r="C254" s="6">
        <v>22.353000000000002</v>
      </c>
      <c r="D254" s="6">
        <v>4.4736999999999999E-2</v>
      </c>
      <c r="E254" s="6">
        <v>-1.4672000000000001</v>
      </c>
      <c r="F254" s="6">
        <v>-1.4039999999999999</v>
      </c>
      <c r="G254" s="6">
        <v>100.49</v>
      </c>
      <c r="H254" s="6">
        <v>27.084</v>
      </c>
      <c r="I254" s="6">
        <v>75.697999999999993</v>
      </c>
      <c r="J254" s="6">
        <v>484.99</v>
      </c>
      <c r="K254" s="6">
        <v>2.9658E-2</v>
      </c>
      <c r="L254" s="6">
        <v>57.094000000000001</v>
      </c>
      <c r="M254" s="6">
        <v>8.1647999999999998E-2</v>
      </c>
      <c r="N254" s="6">
        <v>2.3506999999999998E-3</v>
      </c>
      <c r="O254" s="6" t="s">
        <v>17</v>
      </c>
    </row>
    <row r="255" spans="1:15" ht="17" x14ac:dyDescent="0.35">
      <c r="A255" s="9">
        <v>109.45</v>
      </c>
      <c r="B255" s="11">
        <v>14.198</v>
      </c>
      <c r="C255" s="6">
        <v>22.335000000000001</v>
      </c>
      <c r="D255" s="6">
        <v>4.4774000000000001E-2</v>
      </c>
      <c r="E255" s="6">
        <v>-1.4624999999999999</v>
      </c>
      <c r="F255" s="6">
        <v>-1.399</v>
      </c>
      <c r="G255" s="6">
        <v>100.54</v>
      </c>
      <c r="H255" s="6">
        <v>27.084</v>
      </c>
      <c r="I255" s="6">
        <v>75.820999999999998</v>
      </c>
      <c r="J255" s="6">
        <v>484.06</v>
      </c>
      <c r="K255" s="6">
        <v>3.0020000000000002E-2</v>
      </c>
      <c r="L255" s="6">
        <v>56.972000000000001</v>
      </c>
      <c r="M255" s="6">
        <v>8.1514000000000003E-2</v>
      </c>
      <c r="N255" s="6">
        <v>2.3387999999999998E-3</v>
      </c>
      <c r="O255" s="6" t="s">
        <v>17</v>
      </c>
    </row>
    <row r="256" spans="1:15" ht="17" x14ac:dyDescent="0.35">
      <c r="A256" s="9">
        <v>109.52</v>
      </c>
      <c r="B256" s="11">
        <v>14.254</v>
      </c>
      <c r="C256" s="6">
        <v>22.315999999999999</v>
      </c>
      <c r="D256" s="6">
        <v>4.4810999999999997E-2</v>
      </c>
      <c r="E256" s="6">
        <v>-1.4578</v>
      </c>
      <c r="F256" s="6">
        <v>-1.3938999999999999</v>
      </c>
      <c r="G256" s="6">
        <v>100.58</v>
      </c>
      <c r="H256" s="6">
        <v>27.082999999999998</v>
      </c>
      <c r="I256" s="6">
        <v>75.944000000000003</v>
      </c>
      <c r="J256" s="6">
        <v>483.12</v>
      </c>
      <c r="K256" s="6">
        <v>3.0381999999999999E-2</v>
      </c>
      <c r="L256" s="6">
        <v>56.850999999999999</v>
      </c>
      <c r="M256" s="6">
        <v>8.1380999999999995E-2</v>
      </c>
      <c r="N256" s="6">
        <v>2.3270999999999999E-3</v>
      </c>
      <c r="O256" s="6" t="s">
        <v>17</v>
      </c>
    </row>
    <row r="257" spans="1:15" ht="17" x14ac:dyDescent="0.35">
      <c r="A257" s="9">
        <v>109.59</v>
      </c>
      <c r="B257" s="11">
        <v>14.311</v>
      </c>
      <c r="C257" s="6">
        <v>22.297999999999998</v>
      </c>
      <c r="D257" s="6">
        <v>4.4847999999999999E-2</v>
      </c>
      <c r="E257" s="6">
        <v>-1.4531000000000001</v>
      </c>
      <c r="F257" s="6">
        <v>-1.3889</v>
      </c>
      <c r="G257" s="6">
        <v>100.62</v>
      </c>
      <c r="H257" s="6">
        <v>27.082999999999998</v>
      </c>
      <c r="I257" s="6">
        <v>76.067999999999998</v>
      </c>
      <c r="J257" s="6">
        <v>482.18</v>
      </c>
      <c r="K257" s="6">
        <v>3.0745999999999999E-2</v>
      </c>
      <c r="L257" s="6">
        <v>56.73</v>
      </c>
      <c r="M257" s="6">
        <v>8.1248000000000001E-2</v>
      </c>
      <c r="N257" s="6">
        <v>2.3153000000000002E-3</v>
      </c>
      <c r="O257" s="6" t="s">
        <v>17</v>
      </c>
    </row>
    <row r="258" spans="1:15" ht="17" x14ac:dyDescent="0.35">
      <c r="A258" s="9">
        <v>109.65</v>
      </c>
      <c r="B258" s="11">
        <v>14.367000000000001</v>
      </c>
      <c r="C258" s="6">
        <v>22.279</v>
      </c>
      <c r="D258" s="6">
        <v>4.4885000000000001E-2</v>
      </c>
      <c r="E258" s="6">
        <v>-1.4483999999999999</v>
      </c>
      <c r="F258" s="6">
        <v>-1.3839999999999999</v>
      </c>
      <c r="G258" s="6">
        <v>100.67</v>
      </c>
      <c r="H258" s="6">
        <v>27.082000000000001</v>
      </c>
      <c r="I258" s="6">
        <v>76.192999999999998</v>
      </c>
      <c r="J258" s="6">
        <v>481.25</v>
      </c>
      <c r="K258" s="6">
        <v>3.1112000000000001E-2</v>
      </c>
      <c r="L258" s="6">
        <v>56.609000000000002</v>
      </c>
      <c r="M258" s="6">
        <v>8.1115999999999994E-2</v>
      </c>
      <c r="N258" s="6">
        <v>2.3035999999999998E-3</v>
      </c>
      <c r="O258" s="6" t="s">
        <v>17</v>
      </c>
    </row>
    <row r="259" spans="1:15" ht="17" x14ac:dyDescent="0.35">
      <c r="A259" s="9">
        <v>109.72</v>
      </c>
      <c r="B259" s="11">
        <v>14.423</v>
      </c>
      <c r="C259" s="6">
        <v>22.260999999999999</v>
      </c>
      <c r="D259" s="6">
        <v>4.4921999999999997E-2</v>
      </c>
      <c r="E259" s="6">
        <v>-1.4438</v>
      </c>
      <c r="F259" s="6">
        <v>-1.379</v>
      </c>
      <c r="G259" s="6">
        <v>100.71</v>
      </c>
      <c r="H259" s="6">
        <v>27.082000000000001</v>
      </c>
      <c r="I259" s="6">
        <v>76.317999999999998</v>
      </c>
      <c r="J259" s="6">
        <v>480.32</v>
      </c>
      <c r="K259" s="6">
        <v>3.1477999999999999E-2</v>
      </c>
      <c r="L259" s="6">
        <v>56.488999999999997</v>
      </c>
      <c r="M259" s="6">
        <v>8.0984E-2</v>
      </c>
      <c r="N259" s="6">
        <v>2.2920000000000002E-3</v>
      </c>
      <c r="O259" s="6" t="s">
        <v>17</v>
      </c>
    </row>
    <row r="260" spans="1:15" ht="17" x14ac:dyDescent="0.35">
      <c r="A260" s="9">
        <v>109.79</v>
      </c>
      <c r="B260" s="11">
        <v>14.478999999999999</v>
      </c>
      <c r="C260" s="6">
        <v>22.242000000000001</v>
      </c>
      <c r="D260" s="6">
        <v>4.4958999999999999E-2</v>
      </c>
      <c r="E260" s="6">
        <v>-1.4391</v>
      </c>
      <c r="F260" s="6">
        <v>-1.3740000000000001</v>
      </c>
      <c r="G260" s="6">
        <v>100.75</v>
      </c>
      <c r="H260" s="6">
        <v>27.082000000000001</v>
      </c>
      <c r="I260" s="6">
        <v>76.444000000000003</v>
      </c>
      <c r="J260" s="6">
        <v>479.39</v>
      </c>
      <c r="K260" s="6">
        <v>3.1845999999999999E-2</v>
      </c>
      <c r="L260" s="6">
        <v>56.37</v>
      </c>
      <c r="M260" s="6">
        <v>8.0851999999999993E-2</v>
      </c>
      <c r="N260" s="6">
        <v>2.2804000000000001E-3</v>
      </c>
      <c r="O260" s="6" t="s">
        <v>17</v>
      </c>
    </row>
    <row r="261" spans="1:15" ht="17" x14ac:dyDescent="0.35">
      <c r="A261" s="9">
        <v>109.86</v>
      </c>
      <c r="B261" s="11">
        <v>14.536</v>
      </c>
      <c r="C261" s="6">
        <v>22.224</v>
      </c>
      <c r="D261" s="6">
        <v>4.4996000000000001E-2</v>
      </c>
      <c r="E261" s="6">
        <v>-1.4343999999999999</v>
      </c>
      <c r="F261" s="6">
        <v>-1.369</v>
      </c>
      <c r="G261" s="6">
        <v>100.8</v>
      </c>
      <c r="H261" s="6">
        <v>27.082000000000001</v>
      </c>
      <c r="I261" s="6">
        <v>76.570999999999998</v>
      </c>
      <c r="J261" s="6">
        <v>478.46</v>
      </c>
      <c r="K261" s="6">
        <v>3.2216000000000002E-2</v>
      </c>
      <c r="L261" s="6">
        <v>56.25</v>
      </c>
      <c r="M261" s="6">
        <v>8.0721000000000001E-2</v>
      </c>
      <c r="N261" s="6">
        <v>2.2688000000000001E-3</v>
      </c>
      <c r="O261" s="6" t="s">
        <v>17</v>
      </c>
    </row>
    <row r="262" spans="1:15" ht="17" x14ac:dyDescent="0.35">
      <c r="A262" s="9">
        <v>109.92</v>
      </c>
      <c r="B262" s="11">
        <v>14.592000000000001</v>
      </c>
      <c r="C262" s="6">
        <v>22.206</v>
      </c>
      <c r="D262" s="6">
        <v>4.5033999999999998E-2</v>
      </c>
      <c r="E262" s="6">
        <v>-1.4298</v>
      </c>
      <c r="F262" s="6">
        <v>-1.3641000000000001</v>
      </c>
      <c r="G262" s="6">
        <v>100.84</v>
      </c>
      <c r="H262" s="6">
        <v>27.082000000000001</v>
      </c>
      <c r="I262" s="6">
        <v>76.697999999999993</v>
      </c>
      <c r="J262" s="6">
        <v>477.53</v>
      </c>
      <c r="K262" s="6">
        <v>3.2585999999999997E-2</v>
      </c>
      <c r="L262" s="6">
        <v>56.131999999999998</v>
      </c>
      <c r="M262" s="6">
        <v>8.0589999999999995E-2</v>
      </c>
      <c r="N262" s="6">
        <v>2.2572999999999998E-3</v>
      </c>
      <c r="O262" s="6" t="s">
        <v>17</v>
      </c>
    </row>
    <row r="263" spans="1:15" ht="17" x14ac:dyDescent="0.35">
      <c r="A263" s="9">
        <v>109.99</v>
      </c>
      <c r="B263" s="11">
        <v>14.648</v>
      </c>
      <c r="C263" s="6">
        <v>22.187000000000001</v>
      </c>
      <c r="D263" s="6">
        <v>4.5071E-2</v>
      </c>
      <c r="E263" s="6">
        <v>-1.4251</v>
      </c>
      <c r="F263" s="6">
        <v>-1.3591</v>
      </c>
      <c r="G263" s="6">
        <v>100.88</v>
      </c>
      <c r="H263" s="6">
        <v>27.082000000000001</v>
      </c>
      <c r="I263" s="6">
        <v>76.825999999999993</v>
      </c>
      <c r="J263" s="6">
        <v>476.6</v>
      </c>
      <c r="K263" s="6">
        <v>3.2958000000000001E-2</v>
      </c>
      <c r="L263" s="6">
        <v>56.014000000000003</v>
      </c>
      <c r="M263" s="6">
        <v>8.0460000000000004E-2</v>
      </c>
      <c r="N263" s="6">
        <v>2.2458999999999999E-3</v>
      </c>
      <c r="O263" s="6" t="s">
        <v>17</v>
      </c>
    </row>
    <row r="264" spans="1:15" ht="17" x14ac:dyDescent="0.35">
      <c r="A264" s="9">
        <v>110.05</v>
      </c>
      <c r="B264" s="11">
        <v>14.705</v>
      </c>
      <c r="C264" s="6">
        <v>22.169</v>
      </c>
      <c r="D264" s="6">
        <v>4.5108000000000002E-2</v>
      </c>
      <c r="E264" s="6">
        <v>-1.4205000000000001</v>
      </c>
      <c r="F264" s="6">
        <v>-1.3542000000000001</v>
      </c>
      <c r="G264" s="6">
        <v>100.93</v>
      </c>
      <c r="H264" s="6">
        <v>27.082000000000001</v>
      </c>
      <c r="I264" s="6">
        <v>76.954999999999998</v>
      </c>
      <c r="J264" s="6">
        <v>475.68</v>
      </c>
      <c r="K264" s="6">
        <v>3.3332000000000001E-2</v>
      </c>
      <c r="L264" s="6">
        <v>55.896000000000001</v>
      </c>
      <c r="M264" s="6">
        <v>8.0329999999999999E-2</v>
      </c>
      <c r="N264" s="6">
        <v>2.2344000000000001E-3</v>
      </c>
      <c r="O264" s="6" t="s">
        <v>17</v>
      </c>
    </row>
    <row r="265" spans="1:15" ht="17" x14ac:dyDescent="0.35">
      <c r="A265" s="9">
        <v>110.12</v>
      </c>
      <c r="B265" s="11">
        <v>14.760999999999999</v>
      </c>
      <c r="C265" s="6">
        <v>22.151</v>
      </c>
      <c r="D265" s="6">
        <v>4.5145999999999999E-2</v>
      </c>
      <c r="E265" s="6">
        <v>-1.4158999999999999</v>
      </c>
      <c r="F265" s="6">
        <v>-1.3492</v>
      </c>
      <c r="G265" s="6">
        <v>100.97</v>
      </c>
      <c r="H265" s="6">
        <v>27.082000000000001</v>
      </c>
      <c r="I265" s="6">
        <v>77.084999999999994</v>
      </c>
      <c r="J265" s="6">
        <v>474.75</v>
      </c>
      <c r="K265" s="6">
        <v>3.3706E-2</v>
      </c>
      <c r="L265" s="6">
        <v>55.777999999999999</v>
      </c>
      <c r="M265" s="6">
        <v>8.0199999999999994E-2</v>
      </c>
      <c r="N265" s="6">
        <v>2.2231E-3</v>
      </c>
      <c r="O265" s="6" t="s">
        <v>17</v>
      </c>
    </row>
    <row r="266" spans="1:15" ht="17" x14ac:dyDescent="0.35">
      <c r="A266" s="9">
        <v>110.19</v>
      </c>
      <c r="B266" s="11">
        <v>14.817</v>
      </c>
      <c r="C266" s="6">
        <v>22.132000000000001</v>
      </c>
      <c r="D266" s="6">
        <v>4.5183000000000001E-2</v>
      </c>
      <c r="E266" s="6">
        <v>-1.4112</v>
      </c>
      <c r="F266" s="6">
        <v>-1.3443000000000001</v>
      </c>
      <c r="G266" s="6">
        <v>101.01</v>
      </c>
      <c r="H266" s="6">
        <v>27.082000000000001</v>
      </c>
      <c r="I266" s="6">
        <v>77.215000000000003</v>
      </c>
      <c r="J266" s="6">
        <v>473.83</v>
      </c>
      <c r="K266" s="6">
        <v>3.4082000000000001E-2</v>
      </c>
      <c r="L266" s="6">
        <v>55.661000000000001</v>
      </c>
      <c r="M266" s="6">
        <v>8.0071000000000003E-2</v>
      </c>
      <c r="N266" s="6">
        <v>2.2117E-3</v>
      </c>
      <c r="O266" s="6" t="s">
        <v>17</v>
      </c>
    </row>
    <row r="267" spans="1:15" ht="17" x14ac:dyDescent="0.35">
      <c r="A267" s="9">
        <v>110.25</v>
      </c>
      <c r="B267" s="11">
        <v>14.874000000000001</v>
      </c>
      <c r="C267" s="6">
        <v>22.114000000000001</v>
      </c>
      <c r="D267" s="6">
        <v>4.5220000000000003E-2</v>
      </c>
      <c r="E267" s="6">
        <v>-1.4066000000000001</v>
      </c>
      <c r="F267" s="6">
        <v>-1.3393999999999999</v>
      </c>
      <c r="G267" s="6">
        <v>101.05</v>
      </c>
      <c r="H267" s="6">
        <v>27.082000000000001</v>
      </c>
      <c r="I267" s="6">
        <v>77.344999999999999</v>
      </c>
      <c r="J267" s="6">
        <v>472.91</v>
      </c>
      <c r="K267" s="6">
        <v>3.4459999999999998E-2</v>
      </c>
      <c r="L267" s="6">
        <v>55.545000000000002</v>
      </c>
      <c r="M267" s="6">
        <v>7.9941999999999999E-2</v>
      </c>
      <c r="N267" s="6">
        <v>2.2003999999999999E-3</v>
      </c>
      <c r="O267" s="6" t="s">
        <v>17</v>
      </c>
    </row>
    <row r="268" spans="1:15" ht="17" x14ac:dyDescent="0.35">
      <c r="A268" s="9">
        <v>110.32</v>
      </c>
      <c r="B268" s="11">
        <v>14.93</v>
      </c>
      <c r="C268" s="6">
        <v>22.096</v>
      </c>
      <c r="D268" s="6">
        <v>4.5258E-2</v>
      </c>
      <c r="E268" s="6">
        <v>-1.4019999999999999</v>
      </c>
      <c r="F268" s="6">
        <v>-1.3345</v>
      </c>
      <c r="G268" s="6">
        <v>101.09</v>
      </c>
      <c r="H268" s="6">
        <v>27.082999999999998</v>
      </c>
      <c r="I268" s="6">
        <v>77.477000000000004</v>
      </c>
      <c r="J268" s="6">
        <v>471.99</v>
      </c>
      <c r="K268" s="6">
        <v>3.4839000000000002E-2</v>
      </c>
      <c r="L268" s="6">
        <v>55.429000000000002</v>
      </c>
      <c r="M268" s="6">
        <v>7.9812999999999995E-2</v>
      </c>
      <c r="N268" s="6">
        <v>2.1892000000000001E-3</v>
      </c>
      <c r="O268" s="6" t="s">
        <v>17</v>
      </c>
    </row>
    <row r="269" spans="1:15" ht="17" x14ac:dyDescent="0.35">
      <c r="A269" s="9">
        <v>110.38</v>
      </c>
      <c r="B269" s="11">
        <v>14.986000000000001</v>
      </c>
      <c r="C269" s="6">
        <v>22.077000000000002</v>
      </c>
      <c r="D269" s="6">
        <v>4.5296000000000003E-2</v>
      </c>
      <c r="E269" s="6">
        <v>-1.3974</v>
      </c>
      <c r="F269" s="6">
        <v>-1.3294999999999999</v>
      </c>
      <c r="G269" s="6">
        <v>101.14</v>
      </c>
      <c r="H269" s="6">
        <v>27.082999999999998</v>
      </c>
      <c r="I269" s="6">
        <v>77.608999999999995</v>
      </c>
      <c r="J269" s="6">
        <v>471.07</v>
      </c>
      <c r="K269" s="6">
        <v>3.5219E-2</v>
      </c>
      <c r="L269" s="6">
        <v>55.313000000000002</v>
      </c>
      <c r="M269" s="6">
        <v>7.9684000000000005E-2</v>
      </c>
      <c r="N269" s="6">
        <v>2.1779999999999998E-3</v>
      </c>
      <c r="O269" s="6" t="s">
        <v>17</v>
      </c>
    </row>
    <row r="270" spans="1:15" ht="17" x14ac:dyDescent="0.35">
      <c r="A270" s="9">
        <v>110.45</v>
      </c>
      <c r="B270" s="11">
        <v>15.042</v>
      </c>
      <c r="C270" s="6">
        <v>22.059000000000001</v>
      </c>
      <c r="D270" s="6">
        <v>4.5332999999999998E-2</v>
      </c>
      <c r="E270" s="6">
        <v>-1.3928</v>
      </c>
      <c r="F270" s="6">
        <v>-1.3246</v>
      </c>
      <c r="G270" s="6">
        <v>101.18</v>
      </c>
      <c r="H270" s="6">
        <v>27.082999999999998</v>
      </c>
      <c r="I270" s="6">
        <v>77.742000000000004</v>
      </c>
      <c r="J270" s="6">
        <v>470.15</v>
      </c>
      <c r="K270" s="6">
        <v>3.56E-2</v>
      </c>
      <c r="L270" s="6">
        <v>55.198</v>
      </c>
      <c r="M270" s="6">
        <v>7.9556000000000002E-2</v>
      </c>
      <c r="N270" s="6">
        <v>2.1668E-3</v>
      </c>
      <c r="O270" s="6" t="s">
        <v>17</v>
      </c>
    </row>
    <row r="271" spans="1:15" ht="17" x14ac:dyDescent="0.35">
      <c r="A271" s="9">
        <v>110.51</v>
      </c>
      <c r="B271" s="11">
        <v>15.099</v>
      </c>
      <c r="C271" s="6">
        <v>22.041</v>
      </c>
      <c r="D271" s="6">
        <v>4.5371000000000002E-2</v>
      </c>
      <c r="E271" s="6">
        <v>-1.3883000000000001</v>
      </c>
      <c r="F271" s="6">
        <v>-1.3198000000000001</v>
      </c>
      <c r="G271" s="6">
        <v>101.22</v>
      </c>
      <c r="H271" s="6">
        <v>27.084</v>
      </c>
      <c r="I271" s="6">
        <v>77.876000000000005</v>
      </c>
      <c r="J271" s="6">
        <v>469.23</v>
      </c>
      <c r="K271" s="6">
        <v>3.5984000000000002E-2</v>
      </c>
      <c r="L271" s="6">
        <v>55.082999999999998</v>
      </c>
      <c r="M271" s="6">
        <v>7.9429E-2</v>
      </c>
      <c r="N271" s="6">
        <v>2.1557E-3</v>
      </c>
      <c r="O271" s="6" t="s">
        <v>17</v>
      </c>
    </row>
    <row r="272" spans="1:15" ht="17" x14ac:dyDescent="0.35">
      <c r="A272" s="9">
        <v>110.58</v>
      </c>
      <c r="B272" s="11">
        <v>15.154999999999999</v>
      </c>
      <c r="C272" s="6">
        <v>22.021999999999998</v>
      </c>
      <c r="D272" s="6">
        <v>4.5407999999999997E-2</v>
      </c>
      <c r="E272" s="6">
        <v>-1.3836999999999999</v>
      </c>
      <c r="F272" s="6">
        <v>-1.3149</v>
      </c>
      <c r="G272" s="6">
        <v>101.26</v>
      </c>
      <c r="H272" s="6">
        <v>27.084</v>
      </c>
      <c r="I272" s="6">
        <v>78.010000000000005</v>
      </c>
      <c r="J272" s="6">
        <v>468.32</v>
      </c>
      <c r="K272" s="6">
        <v>3.6367999999999998E-2</v>
      </c>
      <c r="L272" s="6">
        <v>54.968000000000004</v>
      </c>
      <c r="M272" s="6">
        <v>7.9301999999999997E-2</v>
      </c>
      <c r="N272" s="6">
        <v>2.1446E-3</v>
      </c>
      <c r="O272" s="6" t="s">
        <v>17</v>
      </c>
    </row>
    <row r="273" spans="1:15" ht="17" x14ac:dyDescent="0.35">
      <c r="A273" s="9">
        <v>110.64</v>
      </c>
      <c r="B273" s="11">
        <v>15.211</v>
      </c>
      <c r="C273" s="6">
        <v>22.004000000000001</v>
      </c>
      <c r="D273" s="6">
        <v>4.5446E-2</v>
      </c>
      <c r="E273" s="6">
        <v>-1.3791</v>
      </c>
      <c r="F273" s="6">
        <v>-1.31</v>
      </c>
      <c r="G273" s="6">
        <v>101.3</v>
      </c>
      <c r="H273" s="6">
        <v>27.085000000000001</v>
      </c>
      <c r="I273" s="6">
        <v>78.144999999999996</v>
      </c>
      <c r="J273" s="6">
        <v>467.41</v>
      </c>
      <c r="K273" s="6">
        <v>3.6754000000000002E-2</v>
      </c>
      <c r="L273" s="6">
        <v>54.853999999999999</v>
      </c>
      <c r="M273" s="6">
        <v>7.9174999999999995E-2</v>
      </c>
      <c r="N273" s="6">
        <v>2.1335E-3</v>
      </c>
      <c r="O273" s="6" t="s">
        <v>17</v>
      </c>
    </row>
    <row r="274" spans="1:15" ht="17" x14ac:dyDescent="0.35">
      <c r="A274" s="9">
        <v>110.71</v>
      </c>
      <c r="B274" s="11">
        <v>15.268000000000001</v>
      </c>
      <c r="C274" s="6">
        <v>21.986000000000001</v>
      </c>
      <c r="D274" s="6">
        <v>4.5483999999999997E-2</v>
      </c>
      <c r="E274" s="6">
        <v>-1.3745000000000001</v>
      </c>
      <c r="F274" s="6">
        <v>-1.3050999999999999</v>
      </c>
      <c r="G274" s="6">
        <v>101.35</v>
      </c>
      <c r="H274" s="6">
        <v>27.085000000000001</v>
      </c>
      <c r="I274" s="6">
        <v>78.281000000000006</v>
      </c>
      <c r="J274" s="6">
        <v>466.49</v>
      </c>
      <c r="K274" s="6">
        <v>3.7141E-2</v>
      </c>
      <c r="L274" s="6">
        <v>54.741</v>
      </c>
      <c r="M274" s="6">
        <v>7.9047999999999993E-2</v>
      </c>
      <c r="N274" s="6">
        <v>2.1224999999999998E-3</v>
      </c>
      <c r="O274" s="6" t="s">
        <v>17</v>
      </c>
    </row>
    <row r="275" spans="1:15" ht="17" x14ac:dyDescent="0.35">
      <c r="A275" s="9">
        <v>110.77</v>
      </c>
      <c r="B275" s="11">
        <v>15.324</v>
      </c>
      <c r="C275" s="6">
        <v>21.966999999999999</v>
      </c>
      <c r="D275" s="6">
        <v>4.5522E-2</v>
      </c>
      <c r="E275" s="6">
        <v>-1.37</v>
      </c>
      <c r="F275" s="6">
        <v>-1.3002</v>
      </c>
      <c r="G275" s="6">
        <v>101.39</v>
      </c>
      <c r="H275" s="6">
        <v>27.085999999999999</v>
      </c>
      <c r="I275" s="6">
        <v>78.418000000000006</v>
      </c>
      <c r="J275" s="6">
        <v>465.58</v>
      </c>
      <c r="K275" s="6">
        <v>3.7530000000000001E-2</v>
      </c>
      <c r="L275" s="6">
        <v>54.627000000000002</v>
      </c>
      <c r="M275" s="6">
        <v>7.8922000000000006E-2</v>
      </c>
      <c r="N275" s="6">
        <v>2.1115000000000001E-3</v>
      </c>
      <c r="O275" s="6" t="s">
        <v>17</v>
      </c>
    </row>
    <row r="276" spans="1:15" ht="17" x14ac:dyDescent="0.35">
      <c r="A276" s="9">
        <v>110.84</v>
      </c>
      <c r="B276" s="11">
        <v>15.38</v>
      </c>
      <c r="C276" s="6">
        <v>21.949000000000002</v>
      </c>
      <c r="D276" s="6">
        <v>4.5560000000000003E-2</v>
      </c>
      <c r="E276" s="6">
        <v>-1.3653999999999999</v>
      </c>
      <c r="F276" s="6">
        <v>-1.2954000000000001</v>
      </c>
      <c r="G276" s="6">
        <v>101.43</v>
      </c>
      <c r="H276" s="6">
        <v>27.087</v>
      </c>
      <c r="I276" s="6">
        <v>78.555000000000007</v>
      </c>
      <c r="J276" s="6">
        <v>464.67</v>
      </c>
      <c r="K276" s="6">
        <v>3.7920000000000002E-2</v>
      </c>
      <c r="L276" s="6">
        <v>54.514000000000003</v>
      </c>
      <c r="M276" s="6">
        <v>7.8796000000000005E-2</v>
      </c>
      <c r="N276" s="6">
        <v>2.1006000000000002E-3</v>
      </c>
      <c r="O276" s="6" t="s">
        <v>17</v>
      </c>
    </row>
    <row r="277" spans="1:15" ht="17" x14ac:dyDescent="0.35">
      <c r="A277" s="9">
        <v>110.9</v>
      </c>
      <c r="B277" s="11">
        <v>15.436</v>
      </c>
      <c r="C277" s="6">
        <v>21.931000000000001</v>
      </c>
      <c r="D277" s="6">
        <v>4.5598E-2</v>
      </c>
      <c r="E277" s="6">
        <v>-1.3609</v>
      </c>
      <c r="F277" s="6">
        <v>-1.2905</v>
      </c>
      <c r="G277" s="6">
        <v>101.47</v>
      </c>
      <c r="H277" s="6">
        <v>27.087</v>
      </c>
      <c r="I277" s="6">
        <v>78.694000000000003</v>
      </c>
      <c r="J277" s="6">
        <v>463.76</v>
      </c>
      <c r="K277" s="6">
        <v>3.8311999999999999E-2</v>
      </c>
      <c r="L277" s="6">
        <v>54.402000000000001</v>
      </c>
      <c r="M277" s="6">
        <v>7.8670000000000004E-2</v>
      </c>
      <c r="N277" s="6">
        <v>2.0896999999999999E-3</v>
      </c>
      <c r="O277" s="6" t="s">
        <v>17</v>
      </c>
    </row>
    <row r="278" spans="1:15" ht="17" x14ac:dyDescent="0.35">
      <c r="A278" s="9">
        <v>110.96</v>
      </c>
      <c r="B278" s="11">
        <v>15.493</v>
      </c>
      <c r="C278" s="6">
        <v>21.913</v>
      </c>
      <c r="D278" s="6">
        <v>4.5636000000000003E-2</v>
      </c>
      <c r="E278" s="6">
        <v>-1.3564000000000001</v>
      </c>
      <c r="F278" s="6">
        <v>-1.2857000000000001</v>
      </c>
      <c r="G278" s="6">
        <v>101.51</v>
      </c>
      <c r="H278" s="6">
        <v>27.088000000000001</v>
      </c>
      <c r="I278" s="6">
        <v>78.832999999999998</v>
      </c>
      <c r="J278" s="6">
        <v>462.86</v>
      </c>
      <c r="K278" s="6">
        <v>3.8705000000000003E-2</v>
      </c>
      <c r="L278" s="6">
        <v>54.29</v>
      </c>
      <c r="M278" s="6">
        <v>7.8545000000000004E-2</v>
      </c>
      <c r="N278" s="6">
        <v>2.0788999999999998E-3</v>
      </c>
      <c r="O278" s="6" t="s">
        <v>17</v>
      </c>
    </row>
    <row r="279" spans="1:15" ht="17" x14ac:dyDescent="0.35">
      <c r="A279" s="9">
        <v>111.03</v>
      </c>
      <c r="B279" s="11">
        <v>15.548999999999999</v>
      </c>
      <c r="C279" s="6">
        <v>21.893999999999998</v>
      </c>
      <c r="D279" s="6">
        <v>4.5673999999999999E-2</v>
      </c>
      <c r="E279" s="6">
        <v>-1.3517999999999999</v>
      </c>
      <c r="F279" s="6">
        <v>-1.2807999999999999</v>
      </c>
      <c r="G279" s="6">
        <v>101.55</v>
      </c>
      <c r="H279" s="6">
        <v>27.088999999999999</v>
      </c>
      <c r="I279" s="6">
        <v>78.971999999999994</v>
      </c>
      <c r="J279" s="6">
        <v>461.95</v>
      </c>
      <c r="K279" s="6">
        <v>3.9100000000000003E-2</v>
      </c>
      <c r="L279" s="6">
        <v>54.177999999999997</v>
      </c>
      <c r="M279" s="6">
        <v>7.8420000000000004E-2</v>
      </c>
      <c r="N279" s="6">
        <v>2.0680999999999998E-3</v>
      </c>
      <c r="O279" s="6" t="s">
        <v>17</v>
      </c>
    </row>
    <row r="280" spans="1:15" ht="17" x14ac:dyDescent="0.35">
      <c r="A280" s="9">
        <v>111.09</v>
      </c>
      <c r="B280" s="11">
        <v>15.605</v>
      </c>
      <c r="C280" s="6">
        <v>21.876000000000001</v>
      </c>
      <c r="D280" s="6">
        <v>4.5712000000000003E-2</v>
      </c>
      <c r="E280" s="6">
        <v>-1.3472999999999999</v>
      </c>
      <c r="F280" s="6">
        <v>-1.276</v>
      </c>
      <c r="G280" s="6">
        <v>101.6</v>
      </c>
      <c r="H280" s="6">
        <v>27.09</v>
      </c>
      <c r="I280" s="6">
        <v>79.113</v>
      </c>
      <c r="J280" s="6">
        <v>461.04</v>
      </c>
      <c r="K280" s="6">
        <v>3.9496000000000003E-2</v>
      </c>
      <c r="L280" s="6">
        <v>54.066000000000003</v>
      </c>
      <c r="M280" s="6">
        <v>7.8295000000000003E-2</v>
      </c>
      <c r="N280" s="6">
        <v>2.0573000000000002E-3</v>
      </c>
      <c r="O280" s="6" t="s">
        <v>17</v>
      </c>
    </row>
    <row r="281" spans="1:15" ht="17" x14ac:dyDescent="0.35">
      <c r="A281" s="9">
        <v>111.15</v>
      </c>
      <c r="B281" s="11">
        <v>15.662000000000001</v>
      </c>
      <c r="C281" s="6">
        <v>21.858000000000001</v>
      </c>
      <c r="D281" s="6">
        <v>4.5749999999999999E-2</v>
      </c>
      <c r="E281" s="6">
        <v>-1.3428</v>
      </c>
      <c r="F281" s="6">
        <v>-1.2712000000000001</v>
      </c>
      <c r="G281" s="6">
        <v>101.64</v>
      </c>
      <c r="H281" s="6">
        <v>27.091000000000001</v>
      </c>
      <c r="I281" s="6">
        <v>79.254000000000005</v>
      </c>
      <c r="J281" s="6">
        <v>460.14</v>
      </c>
      <c r="K281" s="6">
        <v>3.9893999999999999E-2</v>
      </c>
      <c r="L281" s="6">
        <v>53.954999999999998</v>
      </c>
      <c r="M281" s="6">
        <v>7.8171000000000004E-2</v>
      </c>
      <c r="N281" s="6">
        <v>2.0466E-3</v>
      </c>
      <c r="O281" s="6" t="s">
        <v>17</v>
      </c>
    </row>
    <row r="282" spans="1:15" ht="17" x14ac:dyDescent="0.35">
      <c r="A282" s="9">
        <v>111.22</v>
      </c>
      <c r="B282" s="11">
        <v>15.718</v>
      </c>
      <c r="C282" s="6">
        <v>21.84</v>
      </c>
      <c r="D282" s="6">
        <v>4.5788000000000002E-2</v>
      </c>
      <c r="E282" s="6">
        <v>-1.3383</v>
      </c>
      <c r="F282" s="6">
        <v>-1.2663</v>
      </c>
      <c r="G282" s="6">
        <v>101.68</v>
      </c>
      <c r="H282" s="6">
        <v>27.091999999999999</v>
      </c>
      <c r="I282" s="6">
        <v>79.396000000000001</v>
      </c>
      <c r="J282" s="6">
        <v>459.24</v>
      </c>
      <c r="K282" s="6">
        <v>4.0293000000000002E-2</v>
      </c>
      <c r="L282" s="6">
        <v>53.844999999999999</v>
      </c>
      <c r="M282" s="6">
        <v>7.8047000000000005E-2</v>
      </c>
      <c r="N282" s="6">
        <v>2.0359000000000002E-3</v>
      </c>
      <c r="O282" s="6" t="s">
        <v>17</v>
      </c>
    </row>
    <row r="283" spans="1:15" ht="17" x14ac:dyDescent="0.35">
      <c r="A283" s="9">
        <v>111.28</v>
      </c>
      <c r="B283" s="11">
        <v>15.773999999999999</v>
      </c>
      <c r="C283" s="6">
        <v>21.821999999999999</v>
      </c>
      <c r="D283" s="6">
        <v>4.5825999999999999E-2</v>
      </c>
      <c r="E283" s="6">
        <v>-1.3338000000000001</v>
      </c>
      <c r="F283" s="6">
        <v>-1.2615000000000001</v>
      </c>
      <c r="G283" s="6">
        <v>101.72</v>
      </c>
      <c r="H283" s="6">
        <v>27.093</v>
      </c>
      <c r="I283" s="6">
        <v>79.539000000000001</v>
      </c>
      <c r="J283" s="6">
        <v>458.33</v>
      </c>
      <c r="K283" s="6">
        <v>4.0694000000000001E-2</v>
      </c>
      <c r="L283" s="6">
        <v>53.734000000000002</v>
      </c>
      <c r="M283" s="6">
        <v>7.7923999999999993E-2</v>
      </c>
      <c r="N283" s="6">
        <v>2.0252E-3</v>
      </c>
      <c r="O283" s="6" t="s">
        <v>17</v>
      </c>
    </row>
    <row r="284" spans="1:15" ht="17" x14ac:dyDescent="0.35">
      <c r="A284" s="9">
        <v>111.34</v>
      </c>
      <c r="B284" s="11">
        <v>15.83</v>
      </c>
      <c r="C284" s="6">
        <v>21.803000000000001</v>
      </c>
      <c r="D284" s="6">
        <v>4.5865000000000003E-2</v>
      </c>
      <c r="E284" s="6">
        <v>-1.3292999999999999</v>
      </c>
      <c r="F284" s="6">
        <v>-1.2566999999999999</v>
      </c>
      <c r="G284" s="6">
        <v>101.76</v>
      </c>
      <c r="H284" s="6">
        <v>27.094000000000001</v>
      </c>
      <c r="I284" s="6">
        <v>79.683000000000007</v>
      </c>
      <c r="J284" s="6">
        <v>457.43</v>
      </c>
      <c r="K284" s="6">
        <v>4.1096000000000001E-2</v>
      </c>
      <c r="L284" s="6">
        <v>53.624000000000002</v>
      </c>
      <c r="M284" s="6">
        <v>7.7799999999999994E-2</v>
      </c>
      <c r="N284" s="6">
        <v>2.0146000000000001E-3</v>
      </c>
      <c r="O284" s="6" t="s">
        <v>17</v>
      </c>
    </row>
    <row r="285" spans="1:15" ht="17" x14ac:dyDescent="0.35">
      <c r="A285" s="9">
        <v>111.4</v>
      </c>
      <c r="B285" s="11">
        <v>15.887</v>
      </c>
      <c r="C285" s="6">
        <v>21.785</v>
      </c>
      <c r="D285" s="6">
        <v>4.5902999999999999E-2</v>
      </c>
      <c r="E285" s="6">
        <v>-1.3248</v>
      </c>
      <c r="F285" s="6">
        <v>-1.2519</v>
      </c>
      <c r="G285" s="6">
        <v>101.8</v>
      </c>
      <c r="H285" s="6">
        <v>27.096</v>
      </c>
      <c r="I285" s="6">
        <v>79.828000000000003</v>
      </c>
      <c r="J285" s="6">
        <v>456.53</v>
      </c>
      <c r="K285" s="6">
        <v>4.1500000000000002E-2</v>
      </c>
      <c r="L285" s="6">
        <v>53.515000000000001</v>
      </c>
      <c r="M285" s="6">
        <v>7.7676999999999996E-2</v>
      </c>
      <c r="N285" s="6">
        <v>2.0040000000000001E-3</v>
      </c>
      <c r="O285" s="6" t="s">
        <v>17</v>
      </c>
    </row>
    <row r="286" spans="1:15" ht="17" x14ac:dyDescent="0.35">
      <c r="A286" s="9">
        <v>111.47</v>
      </c>
      <c r="B286" s="11">
        <v>15.943</v>
      </c>
      <c r="C286" s="6">
        <v>21.766999999999999</v>
      </c>
      <c r="D286" s="6">
        <v>4.5941000000000003E-2</v>
      </c>
      <c r="E286" s="6">
        <v>-1.3203</v>
      </c>
      <c r="F286" s="6">
        <v>-1.2471000000000001</v>
      </c>
      <c r="G286" s="6">
        <v>101.84</v>
      </c>
      <c r="H286" s="6">
        <v>27.097000000000001</v>
      </c>
      <c r="I286" s="6">
        <v>79.972999999999999</v>
      </c>
      <c r="J286" s="6">
        <v>455.64</v>
      </c>
      <c r="K286" s="6">
        <v>4.1904999999999998E-2</v>
      </c>
      <c r="L286" s="6">
        <v>53.405000000000001</v>
      </c>
      <c r="M286" s="6">
        <v>7.7554999999999999E-2</v>
      </c>
      <c r="N286" s="6">
        <v>1.9935E-3</v>
      </c>
      <c r="O286" s="6" t="s">
        <v>17</v>
      </c>
    </row>
    <row r="287" spans="1:15" ht="17" x14ac:dyDescent="0.35">
      <c r="A287" s="9">
        <v>111.53</v>
      </c>
      <c r="B287" s="11">
        <v>15.999000000000001</v>
      </c>
      <c r="C287" s="6">
        <v>21.748999999999999</v>
      </c>
      <c r="D287" s="6">
        <v>4.598E-2</v>
      </c>
      <c r="E287" s="6">
        <v>-1.3159000000000001</v>
      </c>
      <c r="F287" s="6">
        <v>-1.2423</v>
      </c>
      <c r="G287" s="6">
        <v>101.88</v>
      </c>
      <c r="H287" s="6">
        <v>27.097999999999999</v>
      </c>
      <c r="I287" s="6">
        <v>80.119</v>
      </c>
      <c r="J287" s="6">
        <v>454.74</v>
      </c>
      <c r="K287" s="6">
        <v>4.2312000000000002E-2</v>
      </c>
      <c r="L287" s="6">
        <v>53.295999999999999</v>
      </c>
      <c r="M287" s="6">
        <v>7.7432000000000001E-2</v>
      </c>
      <c r="N287" s="6">
        <v>1.983E-3</v>
      </c>
      <c r="O287" s="6" t="s">
        <v>17</v>
      </c>
    </row>
    <row r="288" spans="1:15" ht="17" x14ac:dyDescent="0.35">
      <c r="A288" s="9">
        <v>111.59</v>
      </c>
      <c r="B288" s="11">
        <v>16.056000000000001</v>
      </c>
      <c r="C288" s="6">
        <v>21.731000000000002</v>
      </c>
      <c r="D288" s="6">
        <v>4.6018000000000003E-2</v>
      </c>
      <c r="E288" s="6">
        <v>-1.3113999999999999</v>
      </c>
      <c r="F288" s="6">
        <v>-1.2375</v>
      </c>
      <c r="G288" s="6">
        <v>101.92</v>
      </c>
      <c r="H288" s="6">
        <v>27.1</v>
      </c>
      <c r="I288" s="6">
        <v>80.266000000000005</v>
      </c>
      <c r="J288" s="6">
        <v>453.84</v>
      </c>
      <c r="K288" s="6">
        <v>4.2720000000000001E-2</v>
      </c>
      <c r="L288" s="6">
        <v>53.188000000000002</v>
      </c>
      <c r="M288" s="6">
        <v>7.7310000000000004E-2</v>
      </c>
      <c r="N288" s="6">
        <v>1.9724999999999999E-3</v>
      </c>
      <c r="O288" s="6" t="s">
        <v>17</v>
      </c>
    </row>
    <row r="289" spans="1:15" ht="17" x14ac:dyDescent="0.35">
      <c r="A289" s="9">
        <v>111.65</v>
      </c>
      <c r="B289" s="11">
        <v>16.111999999999998</v>
      </c>
      <c r="C289" s="6">
        <v>21.712</v>
      </c>
      <c r="D289" s="6">
        <v>4.6057000000000001E-2</v>
      </c>
      <c r="E289" s="6">
        <v>-1.3069</v>
      </c>
      <c r="F289" s="6">
        <v>-1.2326999999999999</v>
      </c>
      <c r="G289" s="6">
        <v>101.96</v>
      </c>
      <c r="H289" s="6">
        <v>27.100999999999999</v>
      </c>
      <c r="I289" s="6">
        <v>80.414000000000001</v>
      </c>
      <c r="J289" s="6">
        <v>452.95</v>
      </c>
      <c r="K289" s="6">
        <v>4.3130000000000002E-2</v>
      </c>
      <c r="L289" s="6">
        <v>53.08</v>
      </c>
      <c r="M289" s="6">
        <v>7.7188999999999994E-2</v>
      </c>
      <c r="N289" s="6">
        <v>1.9621E-3</v>
      </c>
      <c r="O289" s="6" t="s">
        <v>17</v>
      </c>
    </row>
    <row r="290" spans="1:15" ht="17" x14ac:dyDescent="0.35">
      <c r="A290" s="9">
        <v>111.71</v>
      </c>
      <c r="B290" s="11">
        <v>16.167999999999999</v>
      </c>
      <c r="C290" s="6">
        <v>21.693999999999999</v>
      </c>
      <c r="D290" s="6">
        <v>4.6094999999999997E-2</v>
      </c>
      <c r="E290" s="6">
        <v>-1.3025</v>
      </c>
      <c r="F290" s="6">
        <v>-1.2279</v>
      </c>
      <c r="G290" s="6">
        <v>102</v>
      </c>
      <c r="H290" s="6">
        <v>27.103000000000002</v>
      </c>
      <c r="I290" s="6">
        <v>80.563000000000002</v>
      </c>
      <c r="J290" s="6">
        <v>452.05</v>
      </c>
      <c r="K290" s="6">
        <v>4.3541999999999997E-2</v>
      </c>
      <c r="L290" s="6">
        <v>52.972000000000001</v>
      </c>
      <c r="M290" s="6">
        <v>7.7066999999999997E-2</v>
      </c>
      <c r="N290" s="6">
        <v>1.9517E-3</v>
      </c>
      <c r="O290" s="6" t="s">
        <v>17</v>
      </c>
    </row>
    <row r="291" spans="1:15" ht="17" x14ac:dyDescent="0.35">
      <c r="A291" s="9">
        <v>111.78</v>
      </c>
      <c r="B291" s="11">
        <v>16.225000000000001</v>
      </c>
      <c r="C291" s="6">
        <v>21.675999999999998</v>
      </c>
      <c r="D291" s="6">
        <v>4.6134000000000001E-2</v>
      </c>
      <c r="E291" s="6">
        <v>-1.298</v>
      </c>
      <c r="F291" s="6">
        <v>-1.2232000000000001</v>
      </c>
      <c r="G291" s="6">
        <v>102.04</v>
      </c>
      <c r="H291" s="6">
        <v>27.103999999999999</v>
      </c>
      <c r="I291" s="6">
        <v>80.712999999999994</v>
      </c>
      <c r="J291" s="6">
        <v>451.16</v>
      </c>
      <c r="K291" s="6">
        <v>4.3955000000000001E-2</v>
      </c>
      <c r="L291" s="6">
        <v>52.863999999999997</v>
      </c>
      <c r="M291" s="6">
        <v>7.6946000000000001E-2</v>
      </c>
      <c r="N291" s="6">
        <v>1.9414E-3</v>
      </c>
      <c r="O291" s="6" t="s">
        <v>17</v>
      </c>
    </row>
    <row r="292" spans="1:15" ht="17" x14ac:dyDescent="0.35">
      <c r="A292" s="9">
        <v>111.84</v>
      </c>
      <c r="B292" s="11">
        <v>16.280999999999999</v>
      </c>
      <c r="C292" s="6">
        <v>21.658000000000001</v>
      </c>
      <c r="D292" s="6">
        <v>4.6172999999999999E-2</v>
      </c>
      <c r="E292" s="6">
        <v>-1.2936000000000001</v>
      </c>
      <c r="F292" s="6">
        <v>-1.2183999999999999</v>
      </c>
      <c r="G292" s="6">
        <v>102.08</v>
      </c>
      <c r="H292" s="6">
        <v>27.106000000000002</v>
      </c>
      <c r="I292" s="6">
        <v>80.863</v>
      </c>
      <c r="J292" s="6">
        <v>450.27</v>
      </c>
      <c r="K292" s="6">
        <v>4.437E-2</v>
      </c>
      <c r="L292" s="6">
        <v>52.756999999999998</v>
      </c>
      <c r="M292" s="6">
        <v>7.6825000000000004E-2</v>
      </c>
      <c r="N292" s="6">
        <v>1.9311E-3</v>
      </c>
      <c r="O292" s="6" t="s">
        <v>17</v>
      </c>
    </row>
    <row r="293" spans="1:15" ht="17" x14ac:dyDescent="0.35">
      <c r="A293" s="9">
        <v>111.9</v>
      </c>
      <c r="B293" s="11">
        <v>16.337</v>
      </c>
      <c r="C293" s="6">
        <v>21.64</v>
      </c>
      <c r="D293" s="6">
        <v>4.6212000000000003E-2</v>
      </c>
      <c r="E293" s="6">
        <v>-1.2890999999999999</v>
      </c>
      <c r="F293" s="6">
        <v>-1.2136</v>
      </c>
      <c r="G293" s="6">
        <v>102.12</v>
      </c>
      <c r="H293" s="6">
        <v>27.108000000000001</v>
      </c>
      <c r="I293" s="6">
        <v>81.015000000000001</v>
      </c>
      <c r="J293" s="6">
        <v>449.38</v>
      </c>
      <c r="K293" s="6">
        <v>4.4787E-2</v>
      </c>
      <c r="L293" s="6">
        <v>52.65</v>
      </c>
      <c r="M293" s="6">
        <v>7.6704999999999995E-2</v>
      </c>
      <c r="N293" s="6">
        <v>1.9208000000000001E-3</v>
      </c>
      <c r="O293" s="6" t="s">
        <v>17</v>
      </c>
    </row>
    <row r="294" spans="1:15" ht="17" x14ac:dyDescent="0.35">
      <c r="A294" s="9">
        <v>111.96</v>
      </c>
      <c r="B294" s="11">
        <v>16.393000000000001</v>
      </c>
      <c r="C294" s="6">
        <v>21.620999999999999</v>
      </c>
      <c r="D294" s="6">
        <v>4.6249999999999999E-2</v>
      </c>
      <c r="E294" s="6">
        <v>-1.2847</v>
      </c>
      <c r="F294" s="6">
        <v>-1.2089000000000001</v>
      </c>
      <c r="G294" s="6">
        <v>102.16</v>
      </c>
      <c r="H294" s="6">
        <v>27.109000000000002</v>
      </c>
      <c r="I294" s="6">
        <v>81.167000000000002</v>
      </c>
      <c r="J294" s="6">
        <v>448.49</v>
      </c>
      <c r="K294" s="6">
        <v>4.5205000000000002E-2</v>
      </c>
      <c r="L294" s="6">
        <v>52.542999999999999</v>
      </c>
      <c r="M294" s="6">
        <v>7.6585E-2</v>
      </c>
      <c r="N294" s="6">
        <v>1.9105000000000001E-3</v>
      </c>
      <c r="O294" s="6" t="s">
        <v>17</v>
      </c>
    </row>
    <row r="295" spans="1:15" ht="17" x14ac:dyDescent="0.35">
      <c r="A295" s="9">
        <v>112.02</v>
      </c>
      <c r="B295" s="11">
        <v>16.45</v>
      </c>
      <c r="C295" s="6">
        <v>21.603000000000002</v>
      </c>
      <c r="D295" s="6">
        <v>4.6288999999999997E-2</v>
      </c>
      <c r="E295" s="6">
        <v>-1.2803</v>
      </c>
      <c r="F295" s="6">
        <v>-1.2040999999999999</v>
      </c>
      <c r="G295" s="6">
        <v>102.2</v>
      </c>
      <c r="H295" s="6">
        <v>27.111000000000001</v>
      </c>
      <c r="I295" s="6">
        <v>81.319999999999993</v>
      </c>
      <c r="J295" s="6">
        <v>447.6</v>
      </c>
      <c r="K295" s="6">
        <v>4.5624999999999999E-2</v>
      </c>
      <c r="L295" s="6">
        <v>52.436999999999998</v>
      </c>
      <c r="M295" s="6">
        <v>7.6465000000000005E-2</v>
      </c>
      <c r="N295" s="6">
        <v>1.9002999999999999E-3</v>
      </c>
      <c r="O295" s="6" t="s">
        <v>17</v>
      </c>
    </row>
    <row r="296" spans="1:15" ht="17" x14ac:dyDescent="0.35">
      <c r="A296" s="9">
        <v>112.08</v>
      </c>
      <c r="B296" s="11">
        <v>16.506</v>
      </c>
      <c r="C296" s="6">
        <v>21.585000000000001</v>
      </c>
      <c r="D296" s="6">
        <v>4.6328000000000001E-2</v>
      </c>
      <c r="E296" s="6">
        <v>-1.2759</v>
      </c>
      <c r="F296" s="6">
        <v>-1.1994</v>
      </c>
      <c r="G296" s="6">
        <v>102.24</v>
      </c>
      <c r="H296" s="6">
        <v>27.113</v>
      </c>
      <c r="I296" s="6">
        <v>81.474999999999994</v>
      </c>
      <c r="J296" s="6">
        <v>446.71</v>
      </c>
      <c r="K296" s="6">
        <v>4.6045999999999997E-2</v>
      </c>
      <c r="L296" s="6">
        <v>52.331000000000003</v>
      </c>
      <c r="M296" s="6">
        <v>7.6344999999999996E-2</v>
      </c>
      <c r="N296" s="6">
        <v>1.8902000000000001E-3</v>
      </c>
      <c r="O296" s="6" t="s">
        <v>17</v>
      </c>
    </row>
    <row r="297" spans="1:15" ht="17" x14ac:dyDescent="0.35">
      <c r="A297" s="9">
        <v>112.14</v>
      </c>
      <c r="B297" s="11">
        <v>16.562000000000001</v>
      </c>
      <c r="C297" s="6">
        <v>21.567</v>
      </c>
      <c r="D297" s="6">
        <v>4.6366999999999998E-2</v>
      </c>
      <c r="E297" s="6">
        <v>-1.2714000000000001</v>
      </c>
      <c r="F297" s="6">
        <v>-1.1946000000000001</v>
      </c>
      <c r="G297" s="6">
        <v>102.28</v>
      </c>
      <c r="H297" s="6">
        <v>27.114999999999998</v>
      </c>
      <c r="I297" s="6">
        <v>81.63</v>
      </c>
      <c r="J297" s="6">
        <v>445.83</v>
      </c>
      <c r="K297" s="6">
        <v>4.6469000000000003E-2</v>
      </c>
      <c r="L297" s="6">
        <v>52.225000000000001</v>
      </c>
      <c r="M297" s="6">
        <v>7.6226000000000002E-2</v>
      </c>
      <c r="N297" s="6">
        <v>1.8799999999999999E-3</v>
      </c>
      <c r="O297" s="6" t="s">
        <v>17</v>
      </c>
    </row>
    <row r="298" spans="1:15" ht="17" x14ac:dyDescent="0.35">
      <c r="A298" s="9">
        <v>112.2</v>
      </c>
      <c r="B298" s="11">
        <v>16.619</v>
      </c>
      <c r="C298" s="6">
        <v>21.548999999999999</v>
      </c>
      <c r="D298" s="6">
        <v>4.6406000000000003E-2</v>
      </c>
      <c r="E298" s="6">
        <v>-1.2669999999999999</v>
      </c>
      <c r="F298" s="6">
        <v>-1.1899</v>
      </c>
      <c r="G298" s="6">
        <v>102.32</v>
      </c>
      <c r="H298" s="6">
        <v>27.117000000000001</v>
      </c>
      <c r="I298" s="6">
        <v>81.786000000000001</v>
      </c>
      <c r="J298" s="6">
        <v>444.94</v>
      </c>
      <c r="K298" s="6">
        <v>4.6893999999999998E-2</v>
      </c>
      <c r="L298" s="6">
        <v>52.12</v>
      </c>
      <c r="M298" s="6">
        <v>7.6106999999999994E-2</v>
      </c>
      <c r="N298" s="6">
        <v>1.8699000000000001E-3</v>
      </c>
      <c r="O298" s="6" t="s">
        <v>17</v>
      </c>
    </row>
    <row r="299" spans="1:15" ht="17" x14ac:dyDescent="0.35">
      <c r="A299" s="9">
        <v>112.26</v>
      </c>
      <c r="B299" s="11">
        <v>16.675000000000001</v>
      </c>
      <c r="C299" s="6">
        <v>21.530999999999999</v>
      </c>
      <c r="D299" s="6">
        <v>4.6446000000000001E-2</v>
      </c>
      <c r="E299" s="6">
        <v>-1.2625999999999999</v>
      </c>
      <c r="F299" s="6">
        <v>-1.1852</v>
      </c>
      <c r="G299" s="6">
        <v>102.36</v>
      </c>
      <c r="H299" s="6">
        <v>27.119</v>
      </c>
      <c r="I299" s="6">
        <v>81.942999999999998</v>
      </c>
      <c r="J299" s="6">
        <v>444.05</v>
      </c>
      <c r="K299" s="6">
        <v>4.7321000000000002E-2</v>
      </c>
      <c r="L299" s="6">
        <v>52.015000000000001</v>
      </c>
      <c r="M299" s="6">
        <v>7.5988E-2</v>
      </c>
      <c r="N299" s="6">
        <v>1.8599000000000001E-3</v>
      </c>
      <c r="O299" s="6" t="s">
        <v>17</v>
      </c>
    </row>
    <row r="300" spans="1:15" ht="17" x14ac:dyDescent="0.35">
      <c r="A300" s="9">
        <v>112.32</v>
      </c>
      <c r="B300" s="11">
        <v>16.731000000000002</v>
      </c>
      <c r="C300" s="6">
        <v>21.512</v>
      </c>
      <c r="D300" s="6">
        <v>4.6484999999999999E-2</v>
      </c>
      <c r="E300" s="6">
        <v>-1.2582</v>
      </c>
      <c r="F300" s="6">
        <v>-1.1805000000000001</v>
      </c>
      <c r="G300" s="6">
        <v>102.4</v>
      </c>
      <c r="H300" s="6">
        <v>27.120999999999999</v>
      </c>
      <c r="I300" s="6">
        <v>82.100999999999999</v>
      </c>
      <c r="J300" s="6">
        <v>443.17</v>
      </c>
      <c r="K300" s="6">
        <v>4.7749E-2</v>
      </c>
      <c r="L300" s="6">
        <v>51.91</v>
      </c>
      <c r="M300" s="6">
        <v>7.5870000000000007E-2</v>
      </c>
      <c r="N300" s="6">
        <v>1.8499E-3</v>
      </c>
      <c r="O300" s="6" t="s">
        <v>17</v>
      </c>
    </row>
    <row r="301" spans="1:15" ht="17" x14ac:dyDescent="0.35">
      <c r="A301" s="9">
        <v>112.38</v>
      </c>
      <c r="B301" s="11">
        <v>16.786999999999999</v>
      </c>
      <c r="C301" s="6">
        <v>21.494</v>
      </c>
      <c r="D301" s="6">
        <v>4.6524000000000003E-2</v>
      </c>
      <c r="E301" s="6">
        <v>-1.2538</v>
      </c>
      <c r="F301" s="6">
        <v>-1.1757</v>
      </c>
      <c r="G301" s="6">
        <v>102.44</v>
      </c>
      <c r="H301" s="6">
        <v>27.123000000000001</v>
      </c>
      <c r="I301" s="6">
        <v>82.26</v>
      </c>
      <c r="J301" s="6">
        <v>442.29</v>
      </c>
      <c r="K301" s="6">
        <v>4.8179E-2</v>
      </c>
      <c r="L301" s="6">
        <v>51.805999999999997</v>
      </c>
      <c r="M301" s="6">
        <v>7.5752E-2</v>
      </c>
      <c r="N301" s="6">
        <v>1.8399E-3</v>
      </c>
      <c r="O301" s="6" t="s">
        <v>17</v>
      </c>
    </row>
    <row r="302" spans="1:15" ht="17" x14ac:dyDescent="0.35">
      <c r="A302" s="9">
        <v>112.44</v>
      </c>
      <c r="B302" s="11">
        <v>16.844000000000001</v>
      </c>
      <c r="C302" s="6">
        <v>21.475999999999999</v>
      </c>
      <c r="D302" s="6">
        <v>4.6563E-2</v>
      </c>
      <c r="E302" s="6">
        <v>-1.2494000000000001</v>
      </c>
      <c r="F302" s="6">
        <v>-1.171</v>
      </c>
      <c r="G302" s="6">
        <v>102.48</v>
      </c>
      <c r="H302" s="6">
        <v>27.125</v>
      </c>
      <c r="I302" s="6">
        <v>82.418999999999997</v>
      </c>
      <c r="J302" s="6">
        <v>441.41</v>
      </c>
      <c r="K302" s="6">
        <v>4.8611000000000001E-2</v>
      </c>
      <c r="L302" s="6">
        <v>51.701000000000001</v>
      </c>
      <c r="M302" s="6">
        <v>7.5634000000000007E-2</v>
      </c>
      <c r="N302" s="6">
        <v>1.8299E-3</v>
      </c>
      <c r="O302" s="6" t="s">
        <v>17</v>
      </c>
    </row>
    <row r="303" spans="1:15" ht="17" x14ac:dyDescent="0.35">
      <c r="A303" s="9">
        <v>112.5</v>
      </c>
      <c r="B303" s="11">
        <v>16.899999999999999</v>
      </c>
      <c r="C303" s="6">
        <v>21.457999999999998</v>
      </c>
      <c r="D303" s="6">
        <v>4.6602999999999999E-2</v>
      </c>
      <c r="E303" s="6">
        <v>-1.2451000000000001</v>
      </c>
      <c r="F303" s="6">
        <v>-1.1662999999999999</v>
      </c>
      <c r="G303" s="6">
        <v>102.52</v>
      </c>
      <c r="H303" s="6">
        <v>27.128</v>
      </c>
      <c r="I303" s="6">
        <v>82.58</v>
      </c>
      <c r="J303" s="6">
        <v>440.53</v>
      </c>
      <c r="K303" s="6">
        <v>4.9043999999999997E-2</v>
      </c>
      <c r="L303" s="6">
        <v>51.597999999999999</v>
      </c>
      <c r="M303" s="6">
        <v>7.5516E-2</v>
      </c>
      <c r="N303" s="6">
        <v>1.82E-3</v>
      </c>
      <c r="O303" s="6" t="s">
        <v>17</v>
      </c>
    </row>
    <row r="304" spans="1:15" ht="17" x14ac:dyDescent="0.35">
      <c r="A304" s="9">
        <v>112.56</v>
      </c>
      <c r="B304" s="11">
        <v>16.956</v>
      </c>
      <c r="C304" s="6">
        <v>21.44</v>
      </c>
      <c r="D304" s="6">
        <v>4.6642000000000003E-2</v>
      </c>
      <c r="E304" s="6">
        <v>-1.2406999999999999</v>
      </c>
      <c r="F304" s="6">
        <v>-1.1616</v>
      </c>
      <c r="G304" s="6">
        <v>102.56</v>
      </c>
      <c r="H304" s="6">
        <v>27.13</v>
      </c>
      <c r="I304" s="6">
        <v>82.742000000000004</v>
      </c>
      <c r="J304" s="6">
        <v>439.65</v>
      </c>
      <c r="K304" s="6">
        <v>4.9479000000000002E-2</v>
      </c>
      <c r="L304" s="6">
        <v>51.494</v>
      </c>
      <c r="M304" s="6">
        <v>7.5398999999999994E-2</v>
      </c>
      <c r="N304" s="6">
        <v>1.8101E-3</v>
      </c>
      <c r="O304" s="6" t="s">
        <v>17</v>
      </c>
    </row>
    <row r="305" spans="1:15" ht="17" x14ac:dyDescent="0.35">
      <c r="A305" s="9">
        <v>112.62</v>
      </c>
      <c r="B305" s="11">
        <v>17.013000000000002</v>
      </c>
      <c r="C305" s="6">
        <v>21.422000000000001</v>
      </c>
      <c r="D305" s="6">
        <v>4.6682000000000001E-2</v>
      </c>
      <c r="E305" s="6">
        <v>-1.2363</v>
      </c>
      <c r="F305" s="6">
        <v>-1.1569</v>
      </c>
      <c r="G305" s="6">
        <v>102.6</v>
      </c>
      <c r="H305" s="6">
        <v>27.132000000000001</v>
      </c>
      <c r="I305" s="6">
        <v>82.905000000000001</v>
      </c>
      <c r="J305" s="6">
        <v>438.77</v>
      </c>
      <c r="K305" s="6">
        <v>4.9916000000000002E-2</v>
      </c>
      <c r="L305" s="6">
        <v>51.390999999999998</v>
      </c>
      <c r="M305" s="6">
        <v>7.5282000000000002E-2</v>
      </c>
      <c r="N305" s="6">
        <v>1.8002000000000001E-3</v>
      </c>
      <c r="O305" s="6" t="s">
        <v>17</v>
      </c>
    </row>
    <row r="306" spans="1:15" ht="17" x14ac:dyDescent="0.35">
      <c r="A306" s="9">
        <v>112.68</v>
      </c>
      <c r="B306" s="11">
        <v>17.068999999999999</v>
      </c>
      <c r="C306" s="6">
        <v>21.402999999999999</v>
      </c>
      <c r="D306" s="6">
        <v>4.6720999999999999E-2</v>
      </c>
      <c r="E306" s="6">
        <v>-1.2319</v>
      </c>
      <c r="F306" s="6">
        <v>-1.1521999999999999</v>
      </c>
      <c r="G306" s="6">
        <v>102.64</v>
      </c>
      <c r="H306" s="6">
        <v>27.135000000000002</v>
      </c>
      <c r="I306" s="6">
        <v>83.069000000000003</v>
      </c>
      <c r="J306" s="6">
        <v>437.89</v>
      </c>
      <c r="K306" s="6">
        <v>5.0354999999999997E-2</v>
      </c>
      <c r="L306" s="6">
        <v>51.287999999999997</v>
      </c>
      <c r="M306" s="6">
        <v>7.5165999999999997E-2</v>
      </c>
      <c r="N306" s="6">
        <v>1.7903999999999999E-3</v>
      </c>
      <c r="O306" s="6" t="s">
        <v>17</v>
      </c>
    </row>
    <row r="307" spans="1:15" ht="17" x14ac:dyDescent="0.35">
      <c r="A307" s="9">
        <v>112.74</v>
      </c>
      <c r="B307" s="11">
        <v>17.125</v>
      </c>
      <c r="C307" s="6">
        <v>21.385000000000002</v>
      </c>
      <c r="D307" s="6">
        <v>4.6760999999999997E-2</v>
      </c>
      <c r="E307" s="6">
        <v>-1.2276</v>
      </c>
      <c r="F307" s="6">
        <v>-1.1475</v>
      </c>
      <c r="G307" s="6">
        <v>102.68</v>
      </c>
      <c r="H307" s="6">
        <v>27.137</v>
      </c>
      <c r="I307" s="6">
        <v>83.233999999999995</v>
      </c>
      <c r="J307" s="6">
        <v>437.01</v>
      </c>
      <c r="K307" s="6">
        <v>5.0795E-2</v>
      </c>
      <c r="L307" s="6">
        <v>51.185000000000002</v>
      </c>
      <c r="M307" s="6">
        <v>7.5049000000000005E-2</v>
      </c>
      <c r="N307" s="6">
        <v>1.7806E-3</v>
      </c>
      <c r="O307" s="6" t="s">
        <v>17</v>
      </c>
    </row>
    <row r="308" spans="1:15" ht="17" x14ac:dyDescent="0.35">
      <c r="A308" s="9">
        <v>112.8</v>
      </c>
      <c r="B308" s="11">
        <v>17.181000000000001</v>
      </c>
      <c r="C308" s="6">
        <v>21.367000000000001</v>
      </c>
      <c r="D308" s="6">
        <v>4.6801000000000002E-2</v>
      </c>
      <c r="E308" s="6">
        <v>-1.2232000000000001</v>
      </c>
      <c r="F308" s="6">
        <v>-1.1428</v>
      </c>
      <c r="G308" s="6">
        <v>102.72</v>
      </c>
      <c r="H308" s="6">
        <v>27.14</v>
      </c>
      <c r="I308" s="6">
        <v>83.399000000000001</v>
      </c>
      <c r="J308" s="6">
        <v>436.14</v>
      </c>
      <c r="K308" s="6">
        <v>5.1237999999999999E-2</v>
      </c>
      <c r="L308" s="6">
        <v>51.082999999999998</v>
      </c>
      <c r="M308" s="6">
        <v>7.4933E-2</v>
      </c>
      <c r="N308" s="6">
        <v>1.7708999999999999E-3</v>
      </c>
      <c r="O308" s="6" t="s">
        <v>17</v>
      </c>
    </row>
    <row r="309" spans="1:15" ht="17" x14ac:dyDescent="0.35">
      <c r="A309" s="9">
        <v>112.86</v>
      </c>
      <c r="B309" s="11">
        <v>17.238</v>
      </c>
      <c r="C309" s="6">
        <v>21.349</v>
      </c>
      <c r="D309" s="6">
        <v>4.6841000000000001E-2</v>
      </c>
      <c r="E309" s="6">
        <v>-1.2189000000000001</v>
      </c>
      <c r="F309" s="6">
        <v>-1.1380999999999999</v>
      </c>
      <c r="G309" s="6">
        <v>102.76</v>
      </c>
      <c r="H309" s="6">
        <v>27.143000000000001</v>
      </c>
      <c r="I309" s="6">
        <v>83.566000000000003</v>
      </c>
      <c r="J309" s="6">
        <v>435.26</v>
      </c>
      <c r="K309" s="6">
        <v>5.1681999999999999E-2</v>
      </c>
      <c r="L309" s="6">
        <v>50.98</v>
      </c>
      <c r="M309" s="6">
        <v>7.4816999999999995E-2</v>
      </c>
      <c r="N309" s="6">
        <v>1.7612000000000001E-3</v>
      </c>
      <c r="O309" s="6" t="s">
        <v>17</v>
      </c>
    </row>
    <row r="310" spans="1:15" ht="17" x14ac:dyDescent="0.35">
      <c r="A310" s="9">
        <v>112.92</v>
      </c>
      <c r="B310" s="11">
        <v>17.294</v>
      </c>
      <c r="C310" s="6">
        <v>21.331</v>
      </c>
      <c r="D310" s="6">
        <v>4.6880999999999999E-2</v>
      </c>
      <c r="E310" s="6">
        <v>-1.2144999999999999</v>
      </c>
      <c r="F310" s="6">
        <v>-1.1334</v>
      </c>
      <c r="G310" s="6">
        <v>102.8</v>
      </c>
      <c r="H310" s="6">
        <v>27.145</v>
      </c>
      <c r="I310" s="6">
        <v>83.733999999999995</v>
      </c>
      <c r="J310" s="6">
        <v>434.39</v>
      </c>
      <c r="K310" s="6">
        <v>5.2128000000000001E-2</v>
      </c>
      <c r="L310" s="6">
        <v>50.878999999999998</v>
      </c>
      <c r="M310" s="6">
        <v>7.4702000000000005E-2</v>
      </c>
      <c r="N310" s="6">
        <v>1.7515E-3</v>
      </c>
      <c r="O310" s="6" t="s">
        <v>17</v>
      </c>
    </row>
    <row r="311" spans="1:15" ht="17" x14ac:dyDescent="0.35">
      <c r="A311" s="9">
        <v>112.98</v>
      </c>
      <c r="B311" s="11">
        <v>17.350000000000001</v>
      </c>
      <c r="C311" s="6">
        <v>21.312999999999999</v>
      </c>
      <c r="D311" s="6">
        <v>4.6920999999999997E-2</v>
      </c>
      <c r="E311" s="6">
        <v>-1.2101999999999999</v>
      </c>
      <c r="F311" s="6">
        <v>-1.1288</v>
      </c>
      <c r="G311" s="6">
        <v>102.84</v>
      </c>
      <c r="H311" s="6">
        <v>27.148</v>
      </c>
      <c r="I311" s="6">
        <v>83.903000000000006</v>
      </c>
      <c r="J311" s="6">
        <v>433.51</v>
      </c>
      <c r="K311" s="6">
        <v>5.2574999999999997E-2</v>
      </c>
      <c r="L311" s="6">
        <v>50.777000000000001</v>
      </c>
      <c r="M311" s="6">
        <v>7.4587000000000001E-2</v>
      </c>
      <c r="N311" s="6">
        <v>1.7417999999999999E-3</v>
      </c>
      <c r="O311" s="6" t="s">
        <v>17</v>
      </c>
    </row>
    <row r="312" spans="1:15" ht="17" x14ac:dyDescent="0.35">
      <c r="A312" s="9">
        <v>113.04</v>
      </c>
      <c r="B312" s="11">
        <v>17.407</v>
      </c>
      <c r="C312" s="6">
        <v>21.294</v>
      </c>
      <c r="D312" s="6">
        <v>4.6961000000000003E-2</v>
      </c>
      <c r="E312" s="6">
        <v>-1.2058</v>
      </c>
      <c r="F312" s="6">
        <v>-1.1241000000000001</v>
      </c>
      <c r="G312" s="6">
        <v>102.88</v>
      </c>
      <c r="H312" s="6">
        <v>27.151</v>
      </c>
      <c r="I312" s="6">
        <v>84.072999999999993</v>
      </c>
      <c r="J312" s="6">
        <v>432.64</v>
      </c>
      <c r="K312" s="6">
        <v>5.3025000000000003E-2</v>
      </c>
      <c r="L312" s="6">
        <v>50.676000000000002</v>
      </c>
      <c r="M312" s="6">
        <v>7.4471999999999997E-2</v>
      </c>
      <c r="N312" s="6">
        <v>1.7321999999999999E-3</v>
      </c>
      <c r="O312" s="6" t="s">
        <v>17</v>
      </c>
    </row>
    <row r="313" spans="1:15" ht="17" x14ac:dyDescent="0.35">
      <c r="A313" s="9">
        <v>113.1</v>
      </c>
      <c r="B313" s="11">
        <v>17.463000000000001</v>
      </c>
      <c r="C313" s="6">
        <v>21.276</v>
      </c>
      <c r="D313" s="6">
        <v>4.7001000000000001E-2</v>
      </c>
      <c r="E313" s="6">
        <v>-1.2015</v>
      </c>
      <c r="F313" s="6">
        <v>-1.1194</v>
      </c>
      <c r="G313" s="6">
        <v>102.92</v>
      </c>
      <c r="H313" s="6">
        <v>27.154</v>
      </c>
      <c r="I313" s="6">
        <v>84.245000000000005</v>
      </c>
      <c r="J313" s="6">
        <v>431.77</v>
      </c>
      <c r="K313" s="6">
        <v>5.3476000000000003E-2</v>
      </c>
      <c r="L313" s="6">
        <v>50.575000000000003</v>
      </c>
      <c r="M313" s="6">
        <v>7.4357000000000006E-2</v>
      </c>
      <c r="N313" s="6">
        <v>1.7225999999999999E-3</v>
      </c>
      <c r="O313" s="6" t="s">
        <v>17</v>
      </c>
    </row>
    <row r="314" spans="1:15" ht="17" x14ac:dyDescent="0.35">
      <c r="A314" s="9">
        <v>113.15</v>
      </c>
      <c r="B314" s="11">
        <v>17.518999999999998</v>
      </c>
      <c r="C314" s="6">
        <v>21.257999999999999</v>
      </c>
      <c r="D314" s="6">
        <v>4.7040999999999999E-2</v>
      </c>
      <c r="E314" s="6">
        <v>-1.1972</v>
      </c>
      <c r="F314" s="6">
        <v>-1.1148</v>
      </c>
      <c r="G314" s="6">
        <v>102.95</v>
      </c>
      <c r="H314" s="6">
        <v>27.157</v>
      </c>
      <c r="I314" s="6">
        <v>84.417000000000002</v>
      </c>
      <c r="J314" s="6">
        <v>430.9</v>
      </c>
      <c r="K314" s="6">
        <v>5.3929999999999999E-2</v>
      </c>
      <c r="L314" s="6">
        <v>50.473999999999997</v>
      </c>
      <c r="M314" s="6">
        <v>7.4243000000000003E-2</v>
      </c>
      <c r="N314" s="6">
        <v>1.7131E-3</v>
      </c>
      <c r="O314" s="6" t="s">
        <v>17</v>
      </c>
    </row>
    <row r="315" spans="1:15" ht="17" x14ac:dyDescent="0.35">
      <c r="A315" s="9">
        <v>113.21</v>
      </c>
      <c r="B315" s="11">
        <v>17.576000000000001</v>
      </c>
      <c r="C315" s="6">
        <v>21.24</v>
      </c>
      <c r="D315" s="6">
        <v>4.7080999999999998E-2</v>
      </c>
      <c r="E315" s="6">
        <v>-1.1929000000000001</v>
      </c>
      <c r="F315" s="6">
        <v>-1.1101000000000001</v>
      </c>
      <c r="G315" s="6">
        <v>102.99</v>
      </c>
      <c r="H315" s="6">
        <v>27.16</v>
      </c>
      <c r="I315" s="6">
        <v>84.59</v>
      </c>
      <c r="J315" s="6">
        <v>430.03</v>
      </c>
      <c r="K315" s="6">
        <v>5.4385000000000003E-2</v>
      </c>
      <c r="L315" s="6">
        <v>50.372999999999998</v>
      </c>
      <c r="M315" s="6">
        <v>7.4127999999999999E-2</v>
      </c>
      <c r="N315" s="6">
        <v>1.7036E-3</v>
      </c>
      <c r="O315" s="6" t="s">
        <v>17</v>
      </c>
    </row>
    <row r="316" spans="1:15" ht="17" x14ac:dyDescent="0.35">
      <c r="A316" s="9">
        <v>113.27</v>
      </c>
      <c r="B316" s="11">
        <v>17.632000000000001</v>
      </c>
      <c r="C316" s="6">
        <v>21.222000000000001</v>
      </c>
      <c r="D316" s="6">
        <v>4.7121000000000003E-2</v>
      </c>
      <c r="E316" s="6">
        <v>-1.1884999999999999</v>
      </c>
      <c r="F316" s="6">
        <v>-1.1054999999999999</v>
      </c>
      <c r="G316" s="6">
        <v>103.03</v>
      </c>
      <c r="H316" s="6">
        <v>27.163</v>
      </c>
      <c r="I316" s="6">
        <v>84.765000000000001</v>
      </c>
      <c r="J316" s="6">
        <v>429.16</v>
      </c>
      <c r="K316" s="6">
        <v>5.4842000000000002E-2</v>
      </c>
      <c r="L316" s="6">
        <v>50.273000000000003</v>
      </c>
      <c r="M316" s="6">
        <v>7.4014999999999997E-2</v>
      </c>
      <c r="N316" s="6">
        <v>1.6941E-3</v>
      </c>
      <c r="O316" s="6" t="s">
        <v>17</v>
      </c>
    </row>
    <row r="317" spans="1:15" ht="17" x14ac:dyDescent="0.35">
      <c r="A317" s="9">
        <v>113.33</v>
      </c>
      <c r="B317" s="11">
        <v>17.687999999999999</v>
      </c>
      <c r="C317" s="6">
        <v>21.204000000000001</v>
      </c>
      <c r="D317" s="6">
        <v>4.7162000000000003E-2</v>
      </c>
      <c r="E317" s="6">
        <v>-1.1841999999999999</v>
      </c>
      <c r="F317" s="6">
        <v>-1.1008</v>
      </c>
      <c r="G317" s="6">
        <v>103.07</v>
      </c>
      <c r="H317" s="6">
        <v>27.166</v>
      </c>
      <c r="I317" s="6">
        <v>84.94</v>
      </c>
      <c r="J317" s="6">
        <v>428.29</v>
      </c>
      <c r="K317" s="6">
        <v>5.5301000000000003E-2</v>
      </c>
      <c r="L317" s="6">
        <v>50.173000000000002</v>
      </c>
      <c r="M317" s="6">
        <v>7.3900999999999994E-2</v>
      </c>
      <c r="N317" s="6">
        <v>1.6846000000000001E-3</v>
      </c>
      <c r="O317" s="6" t="s">
        <v>17</v>
      </c>
    </row>
    <row r="318" spans="1:15" ht="17" x14ac:dyDescent="0.35">
      <c r="A318" s="9">
        <v>113.39</v>
      </c>
      <c r="B318" s="11">
        <v>17.744</v>
      </c>
      <c r="C318" s="6">
        <v>21.184999999999999</v>
      </c>
      <c r="D318" s="6">
        <v>4.7202000000000001E-2</v>
      </c>
      <c r="E318" s="6">
        <v>-1.1798999999999999</v>
      </c>
      <c r="F318" s="6">
        <v>-1.0962000000000001</v>
      </c>
      <c r="G318" s="6">
        <v>103.11</v>
      </c>
      <c r="H318" s="6">
        <v>27.169</v>
      </c>
      <c r="I318" s="6">
        <v>85.117000000000004</v>
      </c>
      <c r="J318" s="6">
        <v>427.42</v>
      </c>
      <c r="K318" s="6">
        <v>5.5761999999999999E-2</v>
      </c>
      <c r="L318" s="6">
        <v>50.073</v>
      </c>
      <c r="M318" s="6">
        <v>7.3788000000000006E-2</v>
      </c>
      <c r="N318" s="6">
        <v>1.6752E-3</v>
      </c>
      <c r="O318" s="6" t="s">
        <v>17</v>
      </c>
    </row>
    <row r="319" spans="1:15" ht="17" x14ac:dyDescent="0.35">
      <c r="A319" s="9">
        <v>113.44</v>
      </c>
      <c r="B319" s="11">
        <v>17.800999999999998</v>
      </c>
      <c r="C319" s="6">
        <v>21.167000000000002</v>
      </c>
      <c r="D319" s="6">
        <v>4.7243E-2</v>
      </c>
      <c r="E319" s="6">
        <v>-1.1756</v>
      </c>
      <c r="F319" s="6">
        <v>-1.0914999999999999</v>
      </c>
      <c r="G319" s="6">
        <v>103.15</v>
      </c>
      <c r="H319" s="6">
        <v>27.172000000000001</v>
      </c>
      <c r="I319" s="6">
        <v>85.295000000000002</v>
      </c>
      <c r="J319" s="6">
        <v>426.55</v>
      </c>
      <c r="K319" s="6">
        <v>5.6224999999999997E-2</v>
      </c>
      <c r="L319" s="6">
        <v>49.973999999999997</v>
      </c>
      <c r="M319" s="6">
        <v>7.3675000000000004E-2</v>
      </c>
      <c r="N319" s="6">
        <v>1.6658E-3</v>
      </c>
      <c r="O319" s="6" t="s">
        <v>17</v>
      </c>
    </row>
    <row r="320" spans="1:15" ht="17" x14ac:dyDescent="0.35">
      <c r="A320" s="9">
        <v>113.5</v>
      </c>
      <c r="B320" s="11">
        <v>17.856999999999999</v>
      </c>
      <c r="C320" s="6">
        <v>21.149000000000001</v>
      </c>
      <c r="D320" s="6">
        <v>4.7282999999999999E-2</v>
      </c>
      <c r="E320" s="6">
        <v>-1.1713</v>
      </c>
      <c r="F320" s="6">
        <v>-1.0869</v>
      </c>
      <c r="G320" s="6">
        <v>103.19</v>
      </c>
      <c r="H320" s="6">
        <v>27.175999999999998</v>
      </c>
      <c r="I320" s="6">
        <v>85.474000000000004</v>
      </c>
      <c r="J320" s="6">
        <v>425.69</v>
      </c>
      <c r="K320" s="6">
        <v>5.6689999999999997E-2</v>
      </c>
      <c r="L320" s="6">
        <v>49.874000000000002</v>
      </c>
      <c r="M320" s="6">
        <v>7.3562000000000002E-2</v>
      </c>
      <c r="N320" s="6">
        <v>1.6563999999999999E-3</v>
      </c>
      <c r="O320" s="6" t="s">
        <v>17</v>
      </c>
    </row>
    <row r="321" spans="1:15" ht="17" x14ac:dyDescent="0.35">
      <c r="A321" s="9">
        <v>113.56</v>
      </c>
      <c r="B321" s="11">
        <v>17.913</v>
      </c>
      <c r="C321" s="6">
        <v>21.131</v>
      </c>
      <c r="D321" s="6">
        <v>4.7323999999999998E-2</v>
      </c>
      <c r="E321" s="6">
        <v>-1.167</v>
      </c>
      <c r="F321" s="6">
        <v>-1.0822000000000001</v>
      </c>
      <c r="G321" s="6">
        <v>103.22</v>
      </c>
      <c r="H321" s="6">
        <v>27.178999999999998</v>
      </c>
      <c r="I321" s="6">
        <v>85.653999999999996</v>
      </c>
      <c r="J321" s="6">
        <v>424.82</v>
      </c>
      <c r="K321" s="6">
        <v>5.7156999999999999E-2</v>
      </c>
      <c r="L321" s="6">
        <v>49.774999999999999</v>
      </c>
      <c r="M321" s="6">
        <v>7.3449E-2</v>
      </c>
      <c r="N321" s="6">
        <v>1.6471000000000001E-3</v>
      </c>
      <c r="O321" s="6" t="s">
        <v>17</v>
      </c>
    </row>
    <row r="322" spans="1:15" ht="17" x14ac:dyDescent="0.35">
      <c r="A322" s="9">
        <v>113.62</v>
      </c>
      <c r="B322" s="11">
        <v>17.97</v>
      </c>
      <c r="C322" s="6">
        <v>21.113</v>
      </c>
      <c r="D322" s="6">
        <v>4.7364999999999997E-2</v>
      </c>
      <c r="E322" s="6">
        <v>-1.1627000000000001</v>
      </c>
      <c r="F322" s="6">
        <v>-1.0775999999999999</v>
      </c>
      <c r="G322" s="6">
        <v>103.26</v>
      </c>
      <c r="H322" s="6">
        <v>27.183</v>
      </c>
      <c r="I322" s="6">
        <v>85.835999999999999</v>
      </c>
      <c r="J322" s="6">
        <v>423.96</v>
      </c>
      <c r="K322" s="6">
        <v>5.7625999999999997E-2</v>
      </c>
      <c r="L322" s="6">
        <v>49.677</v>
      </c>
      <c r="M322" s="6">
        <v>7.3336999999999999E-2</v>
      </c>
      <c r="N322" s="6">
        <v>1.6378E-3</v>
      </c>
      <c r="O322" s="6" t="s">
        <v>17</v>
      </c>
    </row>
    <row r="323" spans="1:15" ht="17" x14ac:dyDescent="0.35">
      <c r="A323" s="9">
        <v>113.67</v>
      </c>
      <c r="B323" s="11">
        <v>18.026</v>
      </c>
      <c r="C323" s="6">
        <v>21.094000000000001</v>
      </c>
      <c r="D323" s="6">
        <v>4.7405999999999997E-2</v>
      </c>
      <c r="E323" s="6">
        <v>-1.1584000000000001</v>
      </c>
      <c r="F323" s="6">
        <v>-1.073</v>
      </c>
      <c r="G323" s="6">
        <v>103.3</v>
      </c>
      <c r="H323" s="6">
        <v>27.186</v>
      </c>
      <c r="I323" s="6">
        <v>86.018000000000001</v>
      </c>
      <c r="J323" s="6">
        <v>423.1</v>
      </c>
      <c r="K323" s="6">
        <v>5.8096000000000002E-2</v>
      </c>
      <c r="L323" s="6">
        <v>49.578000000000003</v>
      </c>
      <c r="M323" s="6">
        <v>7.3224999999999998E-2</v>
      </c>
      <c r="N323" s="6">
        <v>1.6286E-3</v>
      </c>
      <c r="O323" s="6" t="s">
        <v>17</v>
      </c>
    </row>
    <row r="324" spans="1:15" ht="17" x14ac:dyDescent="0.35">
      <c r="A324" s="9">
        <v>113.73</v>
      </c>
      <c r="B324" s="11">
        <v>18.082000000000001</v>
      </c>
      <c r="C324" s="6">
        <v>21.076000000000001</v>
      </c>
      <c r="D324" s="6">
        <v>4.7447000000000003E-2</v>
      </c>
      <c r="E324" s="6">
        <v>-1.1540999999999999</v>
      </c>
      <c r="F324" s="6">
        <v>-1.0684</v>
      </c>
      <c r="G324" s="6">
        <v>103.34</v>
      </c>
      <c r="H324" s="6">
        <v>27.19</v>
      </c>
      <c r="I324" s="6">
        <v>86.201999999999998</v>
      </c>
      <c r="J324" s="6">
        <v>422.23</v>
      </c>
      <c r="K324" s="6">
        <v>5.8569000000000003E-2</v>
      </c>
      <c r="L324" s="6">
        <v>49.48</v>
      </c>
      <c r="M324" s="6">
        <v>7.3112999999999997E-2</v>
      </c>
      <c r="N324" s="6">
        <v>1.6192999999999999E-3</v>
      </c>
      <c r="O324" s="6" t="s">
        <v>17</v>
      </c>
    </row>
    <row r="325" spans="1:15" ht="17" x14ac:dyDescent="0.35">
      <c r="A325" s="9">
        <v>113.79</v>
      </c>
      <c r="B325" s="11">
        <v>18.138000000000002</v>
      </c>
      <c r="C325" s="6">
        <v>21.058</v>
      </c>
      <c r="D325" s="6">
        <v>4.7488000000000002E-2</v>
      </c>
      <c r="E325" s="6">
        <v>-1.1498999999999999</v>
      </c>
      <c r="F325" s="6">
        <v>-1.0637000000000001</v>
      </c>
      <c r="G325" s="6">
        <v>103.38</v>
      </c>
      <c r="H325" s="6">
        <v>27.193000000000001</v>
      </c>
      <c r="I325" s="6">
        <v>86.387</v>
      </c>
      <c r="J325" s="6">
        <v>421.37</v>
      </c>
      <c r="K325" s="6">
        <v>5.9043999999999999E-2</v>
      </c>
      <c r="L325" s="6">
        <v>49.381999999999998</v>
      </c>
      <c r="M325" s="6">
        <v>7.3001999999999997E-2</v>
      </c>
      <c r="N325" s="6">
        <v>1.6100999999999999E-3</v>
      </c>
      <c r="O325" s="6" t="s">
        <v>17</v>
      </c>
    </row>
    <row r="326" spans="1:15" ht="17" x14ac:dyDescent="0.35">
      <c r="A326" s="9">
        <v>113.84</v>
      </c>
      <c r="B326" s="11">
        <v>18.195</v>
      </c>
      <c r="C326" s="6">
        <v>21.04</v>
      </c>
      <c r="D326" s="6">
        <v>4.7529000000000002E-2</v>
      </c>
      <c r="E326" s="6">
        <v>-1.1456</v>
      </c>
      <c r="F326" s="6">
        <v>-1.0590999999999999</v>
      </c>
      <c r="G326" s="6">
        <v>103.42</v>
      </c>
      <c r="H326" s="6">
        <v>27.196999999999999</v>
      </c>
      <c r="I326" s="6">
        <v>86.572999999999993</v>
      </c>
      <c r="J326" s="6">
        <v>420.51</v>
      </c>
      <c r="K326" s="6">
        <v>5.9520999999999998E-2</v>
      </c>
      <c r="L326" s="6">
        <v>49.283999999999999</v>
      </c>
      <c r="M326" s="6">
        <v>7.2890999999999997E-2</v>
      </c>
      <c r="N326" s="6">
        <v>1.6008999999999999E-3</v>
      </c>
      <c r="O326" s="6" t="s">
        <v>17</v>
      </c>
    </row>
    <row r="327" spans="1:15" ht="17" x14ac:dyDescent="0.35">
      <c r="A327" s="9">
        <v>113.9</v>
      </c>
      <c r="B327" s="11">
        <v>18.251000000000001</v>
      </c>
      <c r="C327" s="6">
        <v>21.021999999999998</v>
      </c>
      <c r="D327" s="6">
        <v>4.7570000000000001E-2</v>
      </c>
      <c r="E327" s="6">
        <v>-1.1413</v>
      </c>
      <c r="F327" s="6">
        <v>-1.0545</v>
      </c>
      <c r="G327" s="6">
        <v>103.45</v>
      </c>
      <c r="H327" s="6">
        <v>27.201000000000001</v>
      </c>
      <c r="I327" s="6">
        <v>86.760999999999996</v>
      </c>
      <c r="J327" s="6">
        <v>419.65</v>
      </c>
      <c r="K327" s="6">
        <v>0.06</v>
      </c>
      <c r="L327" s="6">
        <v>49.186</v>
      </c>
      <c r="M327" s="6">
        <v>7.2779999999999997E-2</v>
      </c>
      <c r="N327" s="6">
        <v>1.5918E-3</v>
      </c>
      <c r="O327" s="6" t="s">
        <v>17</v>
      </c>
    </row>
    <row r="328" spans="1:15" ht="17" x14ac:dyDescent="0.35">
      <c r="A328" s="9">
        <v>113.96</v>
      </c>
      <c r="B328" s="11">
        <v>18.306999999999999</v>
      </c>
      <c r="C328" s="6">
        <v>21.003</v>
      </c>
      <c r="D328" s="6">
        <v>4.7611000000000001E-2</v>
      </c>
      <c r="E328" s="6">
        <v>-1.1371</v>
      </c>
      <c r="F328" s="6">
        <v>-1.0499000000000001</v>
      </c>
      <c r="G328" s="6">
        <v>103.49</v>
      </c>
      <c r="H328" s="6">
        <v>27.204999999999998</v>
      </c>
      <c r="I328" s="6">
        <v>86.95</v>
      </c>
      <c r="J328" s="6">
        <v>418.79</v>
      </c>
      <c r="K328" s="6">
        <v>6.0481E-2</v>
      </c>
      <c r="L328" s="6">
        <v>49.088999999999999</v>
      </c>
      <c r="M328" s="6">
        <v>7.2668999999999997E-2</v>
      </c>
      <c r="N328" s="6">
        <v>1.5827E-3</v>
      </c>
      <c r="O328" s="6" t="s">
        <v>17</v>
      </c>
    </row>
    <row r="329" spans="1:15" ht="17" x14ac:dyDescent="0.35">
      <c r="A329" s="9">
        <v>114.01</v>
      </c>
      <c r="B329" s="11">
        <v>18.364000000000001</v>
      </c>
      <c r="C329" s="6">
        <v>20.984999999999999</v>
      </c>
      <c r="D329" s="6">
        <v>4.7653000000000001E-2</v>
      </c>
      <c r="E329" s="6">
        <v>-1.1328</v>
      </c>
      <c r="F329" s="6">
        <v>-1.0452999999999999</v>
      </c>
      <c r="G329" s="6">
        <v>103.53</v>
      </c>
      <c r="H329" s="6">
        <v>27.207999999999998</v>
      </c>
      <c r="I329" s="6">
        <v>87.14</v>
      </c>
      <c r="J329" s="6">
        <v>417.93</v>
      </c>
      <c r="K329" s="6">
        <v>6.0963999999999997E-2</v>
      </c>
      <c r="L329" s="6">
        <v>48.991999999999997</v>
      </c>
      <c r="M329" s="6">
        <v>7.2558999999999998E-2</v>
      </c>
      <c r="N329" s="6">
        <v>1.5736000000000001E-3</v>
      </c>
      <c r="O329" s="6" t="s">
        <v>17</v>
      </c>
    </row>
    <row r="330" spans="1:15" ht="17" x14ac:dyDescent="0.35">
      <c r="A330" s="9">
        <v>114.07</v>
      </c>
      <c r="B330" s="11">
        <v>18.420000000000002</v>
      </c>
      <c r="C330" s="6">
        <v>20.966999999999999</v>
      </c>
      <c r="D330" s="6">
        <v>4.7694E-2</v>
      </c>
      <c r="E330" s="6">
        <v>-1.1285000000000001</v>
      </c>
      <c r="F330" s="6">
        <v>-1.0407</v>
      </c>
      <c r="G330" s="6">
        <v>103.57</v>
      </c>
      <c r="H330" s="6">
        <v>27.212</v>
      </c>
      <c r="I330" s="6">
        <v>87.331000000000003</v>
      </c>
      <c r="J330" s="6">
        <v>417.07</v>
      </c>
      <c r="K330" s="6">
        <v>6.1448999999999997E-2</v>
      </c>
      <c r="L330" s="6">
        <v>48.895000000000003</v>
      </c>
      <c r="M330" s="6">
        <v>7.2449E-2</v>
      </c>
      <c r="N330" s="6">
        <v>1.5646E-3</v>
      </c>
      <c r="O330" s="6" t="s">
        <v>17</v>
      </c>
    </row>
    <row r="331" spans="1:15" ht="17" x14ac:dyDescent="0.35">
      <c r="A331" s="9">
        <v>114.12</v>
      </c>
      <c r="B331" s="11">
        <v>18.475999999999999</v>
      </c>
      <c r="C331" s="6">
        <v>20.949000000000002</v>
      </c>
      <c r="D331" s="6">
        <v>4.7736000000000001E-2</v>
      </c>
      <c r="E331" s="6">
        <v>-1.1243000000000001</v>
      </c>
      <c r="F331" s="6">
        <v>-1.0361</v>
      </c>
      <c r="G331" s="6">
        <v>103.61</v>
      </c>
      <c r="H331" s="6">
        <v>27.216000000000001</v>
      </c>
      <c r="I331" s="6">
        <v>87.524000000000001</v>
      </c>
      <c r="J331" s="6">
        <v>416.21</v>
      </c>
      <c r="K331" s="6">
        <v>6.1935999999999998E-2</v>
      </c>
      <c r="L331" s="6">
        <v>48.798000000000002</v>
      </c>
      <c r="M331" s="6">
        <v>7.2339000000000001E-2</v>
      </c>
      <c r="N331" s="6">
        <v>1.5556000000000001E-3</v>
      </c>
      <c r="O331" s="6" t="s">
        <v>17</v>
      </c>
    </row>
    <row r="332" spans="1:15" ht="17" x14ac:dyDescent="0.35">
      <c r="A332" s="9">
        <v>114.18</v>
      </c>
      <c r="B332" s="11">
        <v>18.532</v>
      </c>
      <c r="C332" s="6">
        <v>20.931000000000001</v>
      </c>
      <c r="D332" s="6">
        <v>4.7777E-2</v>
      </c>
      <c r="E332" s="6">
        <v>-1.1200000000000001</v>
      </c>
      <c r="F332" s="6">
        <v>-1.0315000000000001</v>
      </c>
      <c r="G332" s="6">
        <v>103.64</v>
      </c>
      <c r="H332" s="6">
        <v>27.221</v>
      </c>
      <c r="I332" s="6">
        <v>87.718000000000004</v>
      </c>
      <c r="J332" s="6">
        <v>415.36</v>
      </c>
      <c r="K332" s="6">
        <v>6.2426000000000002E-2</v>
      </c>
      <c r="L332" s="6">
        <v>48.701999999999998</v>
      </c>
      <c r="M332" s="6">
        <v>7.2229000000000002E-2</v>
      </c>
      <c r="N332" s="6">
        <v>1.5466E-3</v>
      </c>
      <c r="O332" s="6" t="s">
        <v>17</v>
      </c>
    </row>
    <row r="333" spans="1:15" ht="17" x14ac:dyDescent="0.35">
      <c r="A333" s="9">
        <v>114.24</v>
      </c>
      <c r="B333" s="11">
        <v>18.588999999999999</v>
      </c>
      <c r="C333" s="6">
        <v>20.911999999999999</v>
      </c>
      <c r="D333" s="6">
        <v>4.7819E-2</v>
      </c>
      <c r="E333" s="6">
        <v>-1.1157999999999999</v>
      </c>
      <c r="F333" s="6">
        <v>-1.0268999999999999</v>
      </c>
      <c r="G333" s="6">
        <v>103.68</v>
      </c>
      <c r="H333" s="6">
        <v>27.225000000000001</v>
      </c>
      <c r="I333" s="6">
        <v>87.912999999999997</v>
      </c>
      <c r="J333" s="6">
        <v>414.5</v>
      </c>
      <c r="K333" s="6">
        <v>6.2917000000000001E-2</v>
      </c>
      <c r="L333" s="6">
        <v>48.604999999999997</v>
      </c>
      <c r="M333" s="6">
        <v>7.2120000000000004E-2</v>
      </c>
      <c r="N333" s="6">
        <v>1.5376000000000001E-3</v>
      </c>
      <c r="O333" s="6" t="s">
        <v>17</v>
      </c>
    </row>
    <row r="334" spans="1:15" ht="17" x14ac:dyDescent="0.35">
      <c r="A334" s="9">
        <v>114.29</v>
      </c>
      <c r="B334" s="11">
        <v>18.645</v>
      </c>
      <c r="C334" s="6">
        <v>20.893999999999998</v>
      </c>
      <c r="D334" s="6">
        <v>4.7861000000000001E-2</v>
      </c>
      <c r="E334" s="6">
        <v>-1.1114999999999999</v>
      </c>
      <c r="F334" s="6">
        <v>-1.0223</v>
      </c>
      <c r="G334" s="6">
        <v>103.72</v>
      </c>
      <c r="H334" s="6">
        <v>27.228999999999999</v>
      </c>
      <c r="I334" s="6">
        <v>88.11</v>
      </c>
      <c r="J334" s="6">
        <v>413.64</v>
      </c>
      <c r="K334" s="6">
        <v>6.3410999999999995E-2</v>
      </c>
      <c r="L334" s="6">
        <v>48.509</v>
      </c>
      <c r="M334" s="6">
        <v>7.2010000000000005E-2</v>
      </c>
      <c r="N334" s="6">
        <v>1.5287E-3</v>
      </c>
      <c r="O334" s="6" t="s">
        <v>17</v>
      </c>
    </row>
    <row r="335" spans="1:15" ht="17" x14ac:dyDescent="0.35">
      <c r="A335" s="9">
        <v>114.35</v>
      </c>
      <c r="B335" s="11">
        <v>18.701000000000001</v>
      </c>
      <c r="C335" s="6">
        <v>20.876000000000001</v>
      </c>
      <c r="D335" s="6">
        <v>4.7902E-2</v>
      </c>
      <c r="E335" s="6">
        <v>-1.1073</v>
      </c>
      <c r="F335" s="6">
        <v>-1.0177</v>
      </c>
      <c r="G335" s="6">
        <v>103.76</v>
      </c>
      <c r="H335" s="6">
        <v>27.233000000000001</v>
      </c>
      <c r="I335" s="6">
        <v>88.308000000000007</v>
      </c>
      <c r="J335" s="6">
        <v>412.79</v>
      </c>
      <c r="K335" s="6">
        <v>6.3907000000000005E-2</v>
      </c>
      <c r="L335" s="6">
        <v>48.414000000000001</v>
      </c>
      <c r="M335" s="6">
        <v>7.1901000000000007E-2</v>
      </c>
      <c r="N335" s="6">
        <v>1.5198E-3</v>
      </c>
      <c r="O335" s="6" t="s">
        <v>17</v>
      </c>
    </row>
    <row r="336" spans="1:15" ht="17" x14ac:dyDescent="0.35">
      <c r="A336" s="9">
        <v>114.4</v>
      </c>
      <c r="B336" s="11">
        <v>18.757999999999999</v>
      </c>
      <c r="C336" s="6">
        <v>20.856999999999999</v>
      </c>
      <c r="D336" s="6">
        <v>4.7944000000000001E-2</v>
      </c>
      <c r="E336" s="6">
        <v>-1.103</v>
      </c>
      <c r="F336" s="6">
        <v>-1.0130999999999999</v>
      </c>
      <c r="G336" s="6">
        <v>103.8</v>
      </c>
      <c r="H336" s="6">
        <v>27.238</v>
      </c>
      <c r="I336" s="6">
        <v>88.507000000000005</v>
      </c>
      <c r="J336" s="6">
        <v>411.93</v>
      </c>
      <c r="K336" s="6">
        <v>6.4405000000000004E-2</v>
      </c>
      <c r="L336" s="6">
        <v>48.317999999999998</v>
      </c>
      <c r="M336" s="6">
        <v>7.1792999999999996E-2</v>
      </c>
      <c r="N336" s="6">
        <v>1.5108999999999999E-3</v>
      </c>
      <c r="O336" s="6" t="s">
        <v>17</v>
      </c>
    </row>
    <row r="337" spans="1:15" ht="17" x14ac:dyDescent="0.35">
      <c r="A337" s="9">
        <v>114.46</v>
      </c>
      <c r="B337" s="11">
        <v>18.814</v>
      </c>
      <c r="C337" s="6">
        <v>20.838999999999999</v>
      </c>
      <c r="D337" s="6">
        <v>4.7986000000000001E-2</v>
      </c>
      <c r="E337" s="6">
        <v>-1.0988</v>
      </c>
      <c r="F337" s="6">
        <v>-1.0085</v>
      </c>
      <c r="G337" s="6">
        <v>103.83</v>
      </c>
      <c r="H337" s="6">
        <v>27.242000000000001</v>
      </c>
      <c r="I337" s="6">
        <v>88.707999999999998</v>
      </c>
      <c r="J337" s="6">
        <v>411.08</v>
      </c>
      <c r="K337" s="6">
        <v>6.4905000000000004E-2</v>
      </c>
      <c r="L337" s="6">
        <v>48.222999999999999</v>
      </c>
      <c r="M337" s="6">
        <v>7.1683999999999998E-2</v>
      </c>
      <c r="N337" s="6">
        <v>1.5020999999999999E-3</v>
      </c>
      <c r="O337" s="6" t="s">
        <v>17</v>
      </c>
    </row>
    <row r="338" spans="1:15" ht="17" x14ac:dyDescent="0.35">
      <c r="A338" s="9">
        <v>114.51</v>
      </c>
      <c r="B338" s="11">
        <v>18.87</v>
      </c>
      <c r="C338" s="6">
        <v>20.821000000000002</v>
      </c>
      <c r="D338" s="6">
        <v>4.8029000000000002E-2</v>
      </c>
      <c r="E338" s="6">
        <v>-1.0946</v>
      </c>
      <c r="F338" s="6">
        <v>-1.004</v>
      </c>
      <c r="G338" s="6">
        <v>103.87</v>
      </c>
      <c r="H338" s="6">
        <v>27.247</v>
      </c>
      <c r="I338" s="6">
        <v>88.91</v>
      </c>
      <c r="J338" s="6">
        <v>410.23</v>
      </c>
      <c r="K338" s="6">
        <v>6.5407999999999994E-2</v>
      </c>
      <c r="L338" s="6">
        <v>48.127000000000002</v>
      </c>
      <c r="M338" s="6">
        <v>7.1576000000000001E-2</v>
      </c>
      <c r="N338" s="6">
        <v>1.4932999999999999E-3</v>
      </c>
      <c r="O338" s="6" t="s">
        <v>17</v>
      </c>
    </row>
    <row r="339" spans="1:15" ht="17" x14ac:dyDescent="0.35">
      <c r="A339" s="9">
        <v>114.57</v>
      </c>
      <c r="B339" s="11">
        <v>18.927</v>
      </c>
      <c r="C339" s="6">
        <v>20.803000000000001</v>
      </c>
      <c r="D339" s="6">
        <v>4.8071000000000003E-2</v>
      </c>
      <c r="E339" s="6">
        <v>-1.0904</v>
      </c>
      <c r="F339" s="6">
        <v>-0.99936999999999998</v>
      </c>
      <c r="G339" s="6">
        <v>103.91</v>
      </c>
      <c r="H339" s="6">
        <v>27.251000000000001</v>
      </c>
      <c r="I339" s="6">
        <v>89.114000000000004</v>
      </c>
      <c r="J339" s="6">
        <v>409.38</v>
      </c>
      <c r="K339" s="6">
        <v>6.5912999999999999E-2</v>
      </c>
      <c r="L339" s="6">
        <v>48.031999999999996</v>
      </c>
      <c r="M339" s="6">
        <v>7.1468000000000004E-2</v>
      </c>
      <c r="N339" s="6">
        <v>1.4844999999999999E-3</v>
      </c>
      <c r="O339" s="6" t="s">
        <v>17</v>
      </c>
    </row>
    <row r="340" spans="1:15" ht="17" x14ac:dyDescent="0.35">
      <c r="A340" s="9">
        <v>114.62</v>
      </c>
      <c r="B340" s="11">
        <v>18.983000000000001</v>
      </c>
      <c r="C340" s="6">
        <v>20.783999999999999</v>
      </c>
      <c r="D340" s="6">
        <v>4.8113000000000003E-2</v>
      </c>
      <c r="E340" s="6">
        <v>-1.0861000000000001</v>
      </c>
      <c r="F340" s="6">
        <v>-0.99480000000000002</v>
      </c>
      <c r="G340" s="6">
        <v>103.95</v>
      </c>
      <c r="H340" s="6">
        <v>27.256</v>
      </c>
      <c r="I340" s="6">
        <v>89.319000000000003</v>
      </c>
      <c r="J340" s="6">
        <v>408.52</v>
      </c>
      <c r="K340" s="6">
        <v>6.6420000000000007E-2</v>
      </c>
      <c r="L340" s="6">
        <v>47.938000000000002</v>
      </c>
      <c r="M340" s="6">
        <v>7.1360999999999994E-2</v>
      </c>
      <c r="N340" s="6">
        <v>1.4758E-3</v>
      </c>
      <c r="O340" s="6" t="s">
        <v>17</v>
      </c>
    </row>
    <row r="341" spans="1:15" ht="17" x14ac:dyDescent="0.35">
      <c r="A341" s="9">
        <v>114.68</v>
      </c>
      <c r="B341" s="11">
        <v>19.039000000000001</v>
      </c>
      <c r="C341" s="6">
        <v>20.765999999999998</v>
      </c>
      <c r="D341" s="6">
        <v>4.8155999999999997E-2</v>
      </c>
      <c r="E341" s="6">
        <v>-1.0819000000000001</v>
      </c>
      <c r="F341" s="6">
        <v>-0.99021999999999999</v>
      </c>
      <c r="G341" s="6">
        <v>103.98</v>
      </c>
      <c r="H341" s="6">
        <v>27.26</v>
      </c>
      <c r="I341" s="6">
        <v>89.525000000000006</v>
      </c>
      <c r="J341" s="6">
        <v>407.67</v>
      </c>
      <c r="K341" s="6">
        <v>6.6929000000000002E-2</v>
      </c>
      <c r="L341" s="6">
        <v>47.843000000000004</v>
      </c>
      <c r="M341" s="6">
        <v>7.1252999999999997E-2</v>
      </c>
      <c r="N341" s="6">
        <v>1.467E-3</v>
      </c>
      <c r="O341" s="6" t="s">
        <v>17</v>
      </c>
    </row>
    <row r="342" spans="1:15" ht="17" x14ac:dyDescent="0.35">
      <c r="A342" s="9">
        <v>114.73</v>
      </c>
      <c r="B342" s="11">
        <v>19.094999999999999</v>
      </c>
      <c r="C342" s="6">
        <v>20.748000000000001</v>
      </c>
      <c r="D342" s="6">
        <v>4.8197999999999998E-2</v>
      </c>
      <c r="E342" s="6">
        <v>-1.0777000000000001</v>
      </c>
      <c r="F342" s="6">
        <v>-0.98565000000000003</v>
      </c>
      <c r="G342" s="6">
        <v>104.02</v>
      </c>
      <c r="H342" s="6">
        <v>27.265000000000001</v>
      </c>
      <c r="I342" s="6">
        <v>89.733000000000004</v>
      </c>
      <c r="J342" s="6">
        <v>406.82</v>
      </c>
      <c r="K342" s="6">
        <v>6.7441000000000001E-2</v>
      </c>
      <c r="L342" s="6">
        <v>47.749000000000002</v>
      </c>
      <c r="M342" s="6">
        <v>7.1146000000000001E-2</v>
      </c>
      <c r="N342" s="6">
        <v>1.4583E-3</v>
      </c>
      <c r="O342" s="6" t="s">
        <v>17</v>
      </c>
    </row>
    <row r="343" spans="1:15" ht="17" x14ac:dyDescent="0.35">
      <c r="A343" s="9">
        <v>114.79</v>
      </c>
      <c r="B343" s="11">
        <v>19.152000000000001</v>
      </c>
      <c r="C343" s="6">
        <v>20.728999999999999</v>
      </c>
      <c r="D343" s="6">
        <v>4.8240999999999999E-2</v>
      </c>
      <c r="E343" s="6">
        <v>-1.0734999999999999</v>
      </c>
      <c r="F343" s="6">
        <v>-0.98109000000000002</v>
      </c>
      <c r="G343" s="6">
        <v>104.06</v>
      </c>
      <c r="H343" s="6">
        <v>27.27</v>
      </c>
      <c r="I343" s="6">
        <v>89.942999999999998</v>
      </c>
      <c r="J343" s="6">
        <v>405.97</v>
      </c>
      <c r="K343" s="6">
        <v>6.7955000000000002E-2</v>
      </c>
      <c r="L343" s="6">
        <v>47.655000000000001</v>
      </c>
      <c r="M343" s="6">
        <v>7.1039000000000005E-2</v>
      </c>
      <c r="N343" s="6">
        <v>1.4496999999999999E-3</v>
      </c>
      <c r="O343" s="6" t="s">
        <v>17</v>
      </c>
    </row>
    <row r="344" spans="1:15" ht="17" x14ac:dyDescent="0.35">
      <c r="A344" s="9">
        <v>114.84</v>
      </c>
      <c r="B344" s="11">
        <v>19.207999999999998</v>
      </c>
      <c r="C344" s="6">
        <v>20.710999999999999</v>
      </c>
      <c r="D344" s="6">
        <v>4.8283E-2</v>
      </c>
      <c r="E344" s="6">
        <v>-1.0692999999999999</v>
      </c>
      <c r="F344" s="6">
        <v>-0.97652000000000005</v>
      </c>
      <c r="G344" s="6">
        <v>104.1</v>
      </c>
      <c r="H344" s="6">
        <v>27.274999999999999</v>
      </c>
      <c r="I344" s="6">
        <v>90.153999999999996</v>
      </c>
      <c r="J344" s="6">
        <v>405.12</v>
      </c>
      <c r="K344" s="6">
        <v>6.8471000000000004E-2</v>
      </c>
      <c r="L344" s="6">
        <v>47.561</v>
      </c>
      <c r="M344" s="6">
        <v>7.0931999999999995E-2</v>
      </c>
      <c r="N344" s="6">
        <v>1.441E-3</v>
      </c>
      <c r="O344" s="6" t="s">
        <v>17</v>
      </c>
    </row>
    <row r="345" spans="1:15" ht="17" x14ac:dyDescent="0.35">
      <c r="A345" s="9">
        <v>114.9</v>
      </c>
      <c r="B345" s="11">
        <v>19.263999999999999</v>
      </c>
      <c r="C345" s="6">
        <v>20.693000000000001</v>
      </c>
      <c r="D345" s="6">
        <v>4.8326000000000001E-2</v>
      </c>
      <c r="E345" s="6">
        <v>-1.0650999999999999</v>
      </c>
      <c r="F345" s="6">
        <v>-0.97196000000000005</v>
      </c>
      <c r="G345" s="6">
        <v>104.13</v>
      </c>
      <c r="H345" s="6">
        <v>27.28</v>
      </c>
      <c r="I345" s="6">
        <v>90.366</v>
      </c>
      <c r="J345" s="6">
        <v>404.27</v>
      </c>
      <c r="K345" s="6">
        <v>6.8989999999999996E-2</v>
      </c>
      <c r="L345" s="6">
        <v>47.466999999999999</v>
      </c>
      <c r="M345" s="6">
        <v>7.0826E-2</v>
      </c>
      <c r="N345" s="6">
        <v>1.4323999999999999E-3</v>
      </c>
      <c r="O345" s="6" t="s">
        <v>17</v>
      </c>
    </row>
    <row r="346" spans="1:15" ht="17" x14ac:dyDescent="0.35">
      <c r="A346" s="9">
        <v>114.95</v>
      </c>
      <c r="B346" s="11">
        <v>19.321000000000002</v>
      </c>
      <c r="C346" s="6">
        <v>20.673999999999999</v>
      </c>
      <c r="D346" s="6">
        <v>4.8369000000000002E-2</v>
      </c>
      <c r="E346" s="6">
        <v>-1.0608</v>
      </c>
      <c r="F346" s="6">
        <v>-0.96740000000000004</v>
      </c>
      <c r="G346" s="6">
        <v>104.17</v>
      </c>
      <c r="H346" s="6">
        <v>27.285</v>
      </c>
      <c r="I346" s="6">
        <v>90.58</v>
      </c>
      <c r="J346" s="6">
        <v>403.42</v>
      </c>
      <c r="K346" s="6">
        <v>6.9510000000000002E-2</v>
      </c>
      <c r="L346" s="6">
        <v>47.372999999999998</v>
      </c>
      <c r="M346" s="6">
        <v>7.0720000000000005E-2</v>
      </c>
      <c r="N346" s="6">
        <v>1.4239000000000001E-3</v>
      </c>
      <c r="O346" s="6" t="s">
        <v>17</v>
      </c>
    </row>
    <row r="347" spans="1:15" ht="17" x14ac:dyDescent="0.35">
      <c r="A347" s="9">
        <v>115.01</v>
      </c>
      <c r="B347" s="11">
        <v>19.376999999999999</v>
      </c>
      <c r="C347" s="6">
        <v>20.655999999999999</v>
      </c>
      <c r="D347" s="6">
        <v>4.8411999999999997E-2</v>
      </c>
      <c r="E347" s="6">
        <v>-1.0566</v>
      </c>
      <c r="F347" s="6">
        <v>-0.96284000000000003</v>
      </c>
      <c r="G347" s="6">
        <v>104.21</v>
      </c>
      <c r="H347" s="6">
        <v>27.29</v>
      </c>
      <c r="I347" s="6">
        <v>90.796000000000006</v>
      </c>
      <c r="J347" s="6">
        <v>402.58</v>
      </c>
      <c r="K347" s="6">
        <v>7.0033999999999999E-2</v>
      </c>
      <c r="L347" s="6">
        <v>47.28</v>
      </c>
      <c r="M347" s="6">
        <v>7.0613999999999996E-2</v>
      </c>
      <c r="N347" s="6">
        <v>1.4153E-3</v>
      </c>
      <c r="O347" s="6" t="s">
        <v>17</v>
      </c>
    </row>
    <row r="348" spans="1:15" ht="17" x14ac:dyDescent="0.35">
      <c r="A348" s="9">
        <v>115.06</v>
      </c>
      <c r="B348" s="11">
        <v>19.433</v>
      </c>
      <c r="C348" s="6">
        <v>20.638000000000002</v>
      </c>
      <c r="D348" s="6">
        <v>4.8454999999999998E-2</v>
      </c>
      <c r="E348" s="6">
        <v>-1.0524</v>
      </c>
      <c r="F348" s="6">
        <v>-0.95828000000000002</v>
      </c>
      <c r="G348" s="6">
        <v>104.25</v>
      </c>
      <c r="H348" s="6">
        <v>27.295000000000002</v>
      </c>
      <c r="I348" s="6">
        <v>91.013000000000005</v>
      </c>
      <c r="J348" s="6">
        <v>401.73</v>
      </c>
      <c r="K348" s="6">
        <v>7.0559999999999998E-2</v>
      </c>
      <c r="L348" s="6">
        <v>47.186999999999998</v>
      </c>
      <c r="M348" s="6">
        <v>7.0508000000000001E-2</v>
      </c>
      <c r="N348" s="6">
        <v>1.4067999999999999E-3</v>
      </c>
      <c r="O348" s="6" t="s">
        <v>17</v>
      </c>
    </row>
    <row r="349" spans="1:15" ht="17" x14ac:dyDescent="0.35">
      <c r="A349" s="9">
        <v>115.11</v>
      </c>
      <c r="B349" s="11">
        <v>19.489000000000001</v>
      </c>
      <c r="C349" s="6">
        <v>20.619</v>
      </c>
      <c r="D349" s="6">
        <v>4.8497999999999999E-2</v>
      </c>
      <c r="E349" s="6">
        <v>-1.0483</v>
      </c>
      <c r="F349" s="6">
        <v>-0.95372999999999997</v>
      </c>
      <c r="G349" s="6">
        <v>104.28</v>
      </c>
      <c r="H349" s="6">
        <v>27.300999999999998</v>
      </c>
      <c r="I349" s="6">
        <v>91.231999999999999</v>
      </c>
      <c r="J349" s="6">
        <v>400.88</v>
      </c>
      <c r="K349" s="6">
        <v>7.1087999999999998E-2</v>
      </c>
      <c r="L349" s="6">
        <v>47.094000000000001</v>
      </c>
      <c r="M349" s="6">
        <v>7.0402999999999993E-2</v>
      </c>
      <c r="N349" s="6">
        <v>1.3983000000000001E-3</v>
      </c>
      <c r="O349" s="6" t="s">
        <v>17</v>
      </c>
    </row>
    <row r="350" spans="1:15" ht="17" x14ac:dyDescent="0.35">
      <c r="A350" s="9">
        <v>115.17</v>
      </c>
      <c r="B350" s="11">
        <v>19.545999999999999</v>
      </c>
      <c r="C350" s="6">
        <v>20.600999999999999</v>
      </c>
      <c r="D350" s="6">
        <v>4.8542000000000002E-2</v>
      </c>
      <c r="E350" s="6">
        <v>-1.0441</v>
      </c>
      <c r="F350" s="6">
        <v>-0.94918000000000002</v>
      </c>
      <c r="G350" s="6">
        <v>104.32</v>
      </c>
      <c r="H350" s="6">
        <v>27.306000000000001</v>
      </c>
      <c r="I350" s="6">
        <v>91.451999999999998</v>
      </c>
      <c r="J350" s="6">
        <v>400.04</v>
      </c>
      <c r="K350" s="6">
        <v>7.1618000000000001E-2</v>
      </c>
      <c r="L350" s="6">
        <v>47.000999999999998</v>
      </c>
      <c r="M350" s="6">
        <v>7.0296999999999998E-2</v>
      </c>
      <c r="N350" s="6">
        <v>1.3898000000000001E-3</v>
      </c>
      <c r="O350" s="6" t="s">
        <v>17</v>
      </c>
    </row>
    <row r="351" spans="1:15" ht="17" x14ac:dyDescent="0.35">
      <c r="A351" s="9">
        <v>115.22</v>
      </c>
      <c r="B351" s="11">
        <v>19.602</v>
      </c>
      <c r="C351" s="6">
        <v>20.582000000000001</v>
      </c>
      <c r="D351" s="6">
        <v>4.8585000000000003E-2</v>
      </c>
      <c r="E351" s="6">
        <v>-1.0399</v>
      </c>
      <c r="F351" s="6">
        <v>-0.94462999999999997</v>
      </c>
      <c r="G351" s="6">
        <v>104.36</v>
      </c>
      <c r="H351" s="6">
        <v>27.311</v>
      </c>
      <c r="I351" s="6">
        <v>91.674000000000007</v>
      </c>
      <c r="J351" s="6">
        <v>399.19</v>
      </c>
      <c r="K351" s="6">
        <v>7.2151000000000007E-2</v>
      </c>
      <c r="L351" s="6">
        <v>46.908000000000001</v>
      </c>
      <c r="M351" s="6">
        <v>7.0192000000000004E-2</v>
      </c>
      <c r="N351" s="6">
        <v>1.3814000000000001E-3</v>
      </c>
      <c r="O351" s="6" t="s">
        <v>17</v>
      </c>
    </row>
    <row r="352" spans="1:15" ht="17" x14ac:dyDescent="0.35">
      <c r="A352" s="9">
        <v>115.28</v>
      </c>
      <c r="B352" s="11">
        <v>19.658000000000001</v>
      </c>
      <c r="C352" s="6">
        <v>20.564</v>
      </c>
      <c r="D352" s="6">
        <v>4.8628999999999999E-2</v>
      </c>
      <c r="E352" s="6">
        <v>-1.0357000000000001</v>
      </c>
      <c r="F352" s="6">
        <v>-0.94008000000000003</v>
      </c>
      <c r="G352" s="6">
        <v>104.39</v>
      </c>
      <c r="H352" s="6">
        <v>27.317</v>
      </c>
      <c r="I352" s="6">
        <v>91.897999999999996</v>
      </c>
      <c r="J352" s="6">
        <v>398.35</v>
      </c>
      <c r="K352" s="6">
        <v>7.2687000000000002E-2</v>
      </c>
      <c r="L352" s="6">
        <v>46.814999999999998</v>
      </c>
      <c r="M352" s="6">
        <v>7.0087999999999998E-2</v>
      </c>
      <c r="N352" s="6">
        <v>1.3730000000000001E-3</v>
      </c>
      <c r="O352" s="6" t="s">
        <v>17</v>
      </c>
    </row>
    <row r="353" spans="1:15" ht="17" x14ac:dyDescent="0.35">
      <c r="A353" s="9">
        <v>115.33</v>
      </c>
      <c r="B353" s="11">
        <v>19.715</v>
      </c>
      <c r="C353" s="6">
        <v>20.545999999999999</v>
      </c>
      <c r="D353" s="6">
        <v>4.8672E-2</v>
      </c>
      <c r="E353" s="6">
        <v>-1.0315000000000001</v>
      </c>
      <c r="F353" s="6">
        <v>-0.93554000000000004</v>
      </c>
      <c r="G353" s="6">
        <v>104.43</v>
      </c>
      <c r="H353" s="6">
        <v>27.321999999999999</v>
      </c>
      <c r="I353" s="6">
        <v>92.123000000000005</v>
      </c>
      <c r="J353" s="6">
        <v>397.5</v>
      </c>
      <c r="K353" s="6">
        <v>7.3224999999999998E-2</v>
      </c>
      <c r="L353" s="6">
        <v>46.722999999999999</v>
      </c>
      <c r="M353" s="6">
        <v>6.9983000000000004E-2</v>
      </c>
      <c r="N353" s="6">
        <v>1.3646000000000001E-3</v>
      </c>
      <c r="O353" s="6" t="s">
        <v>17</v>
      </c>
    </row>
    <row r="354" spans="1:15" ht="17" x14ac:dyDescent="0.35">
      <c r="A354" s="9">
        <v>115.38</v>
      </c>
      <c r="B354" s="11">
        <v>19.771000000000001</v>
      </c>
      <c r="C354" s="6">
        <v>20.527000000000001</v>
      </c>
      <c r="D354" s="6">
        <v>4.8716000000000002E-2</v>
      </c>
      <c r="E354" s="6">
        <v>-1.0273000000000001</v>
      </c>
      <c r="F354" s="6">
        <v>-0.93098999999999998</v>
      </c>
      <c r="G354" s="6">
        <v>104.47</v>
      </c>
      <c r="H354" s="6">
        <v>27.327999999999999</v>
      </c>
      <c r="I354" s="6">
        <v>92.35</v>
      </c>
      <c r="J354" s="6">
        <v>396.66</v>
      </c>
      <c r="K354" s="6">
        <v>7.3764999999999997E-2</v>
      </c>
      <c r="L354" s="6">
        <v>46.631</v>
      </c>
      <c r="M354" s="6">
        <v>6.9878999999999997E-2</v>
      </c>
      <c r="N354" s="6">
        <v>1.3563E-3</v>
      </c>
      <c r="O354" s="6" t="s">
        <v>17</v>
      </c>
    </row>
    <row r="355" spans="1:15" ht="17" x14ac:dyDescent="0.35">
      <c r="A355" s="9">
        <v>115.44</v>
      </c>
      <c r="B355" s="11">
        <v>19.827000000000002</v>
      </c>
      <c r="C355" s="6">
        <v>20.509</v>
      </c>
      <c r="D355" s="6">
        <v>4.8759999999999998E-2</v>
      </c>
      <c r="E355" s="6">
        <v>-1.0230999999999999</v>
      </c>
      <c r="F355" s="6">
        <v>-0.92645</v>
      </c>
      <c r="G355" s="6">
        <v>104.5</v>
      </c>
      <c r="H355" s="6">
        <v>27.334</v>
      </c>
      <c r="I355" s="6">
        <v>92.578999999999994</v>
      </c>
      <c r="J355" s="6">
        <v>395.81</v>
      </c>
      <c r="K355" s="6">
        <v>7.4307999999999999E-2</v>
      </c>
      <c r="L355" s="6">
        <v>46.539000000000001</v>
      </c>
      <c r="M355" s="6">
        <v>6.9775000000000004E-2</v>
      </c>
      <c r="N355" s="6">
        <v>1.3479E-3</v>
      </c>
      <c r="O355" s="6" t="s">
        <v>17</v>
      </c>
    </row>
    <row r="356" spans="1:15" ht="17" x14ac:dyDescent="0.35">
      <c r="A356" s="9">
        <v>115.49</v>
      </c>
      <c r="B356" s="11">
        <v>19.882999999999999</v>
      </c>
      <c r="C356" s="6">
        <v>20.49</v>
      </c>
      <c r="D356" s="6">
        <v>4.8804E-2</v>
      </c>
      <c r="E356" s="6">
        <v>-1.0188999999999999</v>
      </c>
      <c r="F356" s="6">
        <v>-0.92191000000000001</v>
      </c>
      <c r="G356" s="6">
        <v>104.54</v>
      </c>
      <c r="H356" s="6">
        <v>27.34</v>
      </c>
      <c r="I356" s="6">
        <v>92.808999999999997</v>
      </c>
      <c r="J356" s="6">
        <v>394.97</v>
      </c>
      <c r="K356" s="6">
        <v>7.4854000000000004E-2</v>
      </c>
      <c r="L356" s="6">
        <v>46.447000000000003</v>
      </c>
      <c r="M356" s="6">
        <v>6.9670999999999997E-2</v>
      </c>
      <c r="N356" s="6">
        <v>1.3396E-3</v>
      </c>
      <c r="O356" s="6" t="s">
        <v>17</v>
      </c>
    </row>
    <row r="357" spans="1:15" ht="17" x14ac:dyDescent="0.35">
      <c r="A357" s="9">
        <v>115.54</v>
      </c>
      <c r="B357" s="11">
        <v>19.940000000000001</v>
      </c>
      <c r="C357" s="6">
        <v>20.472000000000001</v>
      </c>
      <c r="D357" s="6">
        <v>4.8848000000000003E-2</v>
      </c>
      <c r="E357" s="6">
        <v>-1.0147999999999999</v>
      </c>
      <c r="F357" s="6">
        <v>-0.91737000000000002</v>
      </c>
      <c r="G357" s="6">
        <v>104.58</v>
      </c>
      <c r="H357" s="6">
        <v>27.344999999999999</v>
      </c>
      <c r="I357" s="6">
        <v>93.040999999999997</v>
      </c>
      <c r="J357" s="6">
        <v>394.13</v>
      </c>
      <c r="K357" s="6">
        <v>7.5401999999999997E-2</v>
      </c>
      <c r="L357" s="6">
        <v>46.356000000000002</v>
      </c>
      <c r="M357" s="6">
        <v>6.9567000000000004E-2</v>
      </c>
      <c r="N357" s="6">
        <v>1.3313999999999999E-3</v>
      </c>
      <c r="O357" s="6" t="s">
        <v>17</v>
      </c>
    </row>
    <row r="358" spans="1:15" ht="17" x14ac:dyDescent="0.35">
      <c r="A358" s="9">
        <v>115.59</v>
      </c>
      <c r="B358" s="11">
        <v>19.995999999999999</v>
      </c>
      <c r="C358" s="6">
        <v>20.452999999999999</v>
      </c>
      <c r="D358" s="6">
        <v>4.8891999999999998E-2</v>
      </c>
      <c r="E358" s="6">
        <v>-1.0105999999999999</v>
      </c>
      <c r="F358" s="6">
        <v>-0.91283999999999998</v>
      </c>
      <c r="G358" s="6">
        <v>104.62</v>
      </c>
      <c r="H358" s="6">
        <v>27.350999999999999</v>
      </c>
      <c r="I358" s="6">
        <v>93.275000000000006</v>
      </c>
      <c r="J358" s="6">
        <v>393.29</v>
      </c>
      <c r="K358" s="6">
        <v>7.5953000000000007E-2</v>
      </c>
      <c r="L358" s="6">
        <v>46.264000000000003</v>
      </c>
      <c r="M358" s="6">
        <v>6.9463999999999998E-2</v>
      </c>
      <c r="N358" s="6">
        <v>1.3231E-3</v>
      </c>
      <c r="O358" s="6" t="s">
        <v>17</v>
      </c>
    </row>
    <row r="359" spans="1:15" ht="17" x14ac:dyDescent="0.35">
      <c r="A359" s="9">
        <v>115.65</v>
      </c>
      <c r="B359" s="11">
        <v>20.052</v>
      </c>
      <c r="C359" s="6">
        <v>20.434999999999999</v>
      </c>
      <c r="D359" s="6">
        <v>4.8936E-2</v>
      </c>
      <c r="E359" s="6">
        <v>-1.0064</v>
      </c>
      <c r="F359" s="6">
        <v>-0.9083</v>
      </c>
      <c r="G359" s="6">
        <v>104.65</v>
      </c>
      <c r="H359" s="6">
        <v>27.356999999999999</v>
      </c>
      <c r="I359" s="6">
        <v>93.510999999999996</v>
      </c>
      <c r="J359" s="6">
        <v>392.44</v>
      </c>
      <c r="K359" s="6">
        <v>7.6506000000000005E-2</v>
      </c>
      <c r="L359" s="6">
        <v>46.173000000000002</v>
      </c>
      <c r="M359" s="6">
        <v>6.9361000000000006E-2</v>
      </c>
      <c r="N359" s="6">
        <v>1.3148999999999999E-3</v>
      </c>
      <c r="O359" s="6" t="s">
        <v>17</v>
      </c>
    </row>
    <row r="360" spans="1:15" ht="17" x14ac:dyDescent="0.35">
      <c r="A360" s="9">
        <v>115.7</v>
      </c>
      <c r="B360" s="11">
        <v>20.109000000000002</v>
      </c>
      <c r="C360" s="6">
        <v>20.416</v>
      </c>
      <c r="D360" s="6">
        <v>4.8980999999999997E-2</v>
      </c>
      <c r="E360" s="6">
        <v>-1.0023</v>
      </c>
      <c r="F360" s="6">
        <v>-0.90376999999999996</v>
      </c>
      <c r="G360" s="6">
        <v>104.69</v>
      </c>
      <c r="H360" s="6">
        <v>27.363</v>
      </c>
      <c r="I360" s="6">
        <v>93.748999999999995</v>
      </c>
      <c r="J360" s="6">
        <v>391.6</v>
      </c>
      <c r="K360" s="6">
        <v>7.7062000000000005E-2</v>
      </c>
      <c r="L360" s="6">
        <v>46.082000000000001</v>
      </c>
      <c r="M360" s="6">
        <v>6.9258E-2</v>
      </c>
      <c r="N360" s="6">
        <v>1.3067E-3</v>
      </c>
      <c r="O360" s="6" t="s">
        <v>17</v>
      </c>
    </row>
    <row r="361" spans="1:15" ht="17" x14ac:dyDescent="0.35">
      <c r="A361" s="9">
        <v>115.75</v>
      </c>
      <c r="B361" s="11">
        <v>20.164999999999999</v>
      </c>
      <c r="C361" s="6">
        <v>20.398</v>
      </c>
      <c r="D361" s="6">
        <v>4.9024999999999999E-2</v>
      </c>
      <c r="E361" s="6">
        <v>-0.99809999999999999</v>
      </c>
      <c r="F361" s="6">
        <v>-0.89924000000000004</v>
      </c>
      <c r="G361" s="6">
        <v>104.73</v>
      </c>
      <c r="H361" s="6">
        <v>27.37</v>
      </c>
      <c r="I361" s="6">
        <v>93.988</v>
      </c>
      <c r="J361" s="6">
        <v>390.76</v>
      </c>
      <c r="K361" s="6">
        <v>7.7620999999999996E-2</v>
      </c>
      <c r="L361" s="6">
        <v>45.991</v>
      </c>
      <c r="M361" s="6">
        <v>6.9154999999999994E-2</v>
      </c>
      <c r="N361" s="6">
        <v>1.2986E-3</v>
      </c>
      <c r="O361" s="6" t="s">
        <v>17</v>
      </c>
    </row>
    <row r="362" spans="1:15" ht="17" x14ac:dyDescent="0.35">
      <c r="A362" s="9">
        <v>115.81</v>
      </c>
      <c r="B362" s="11">
        <v>20.221</v>
      </c>
      <c r="C362" s="6">
        <v>20.379000000000001</v>
      </c>
      <c r="D362" s="6">
        <v>4.9070000000000003E-2</v>
      </c>
      <c r="E362" s="6">
        <v>-0.99392999999999998</v>
      </c>
      <c r="F362" s="6">
        <v>-0.89471000000000001</v>
      </c>
      <c r="G362" s="6">
        <v>104.76</v>
      </c>
      <c r="H362" s="6">
        <v>27.376000000000001</v>
      </c>
      <c r="I362" s="6">
        <v>94.228999999999999</v>
      </c>
      <c r="J362" s="6">
        <v>389.92</v>
      </c>
      <c r="K362" s="6">
        <v>7.8183000000000002E-2</v>
      </c>
      <c r="L362" s="6">
        <v>45.9</v>
      </c>
      <c r="M362" s="6">
        <v>6.9052000000000002E-2</v>
      </c>
      <c r="N362" s="6">
        <v>1.2903999999999999E-3</v>
      </c>
      <c r="O362" s="6" t="s">
        <v>17</v>
      </c>
    </row>
    <row r="363" spans="1:15" ht="17" x14ac:dyDescent="0.35">
      <c r="A363" s="9">
        <v>115.86</v>
      </c>
      <c r="B363" s="11">
        <v>20.277000000000001</v>
      </c>
      <c r="C363" s="6">
        <v>20.361000000000001</v>
      </c>
      <c r="D363" s="6">
        <v>4.9113999999999998E-2</v>
      </c>
      <c r="E363" s="6">
        <v>-0.98977000000000004</v>
      </c>
      <c r="F363" s="6">
        <v>-0.89017999999999997</v>
      </c>
      <c r="G363" s="6">
        <v>104.8</v>
      </c>
      <c r="H363" s="6">
        <v>27.382000000000001</v>
      </c>
      <c r="I363" s="6">
        <v>94.472999999999999</v>
      </c>
      <c r="J363" s="6">
        <v>389.08</v>
      </c>
      <c r="K363" s="6">
        <v>7.8746999999999998E-2</v>
      </c>
      <c r="L363" s="6">
        <v>45.808999999999997</v>
      </c>
      <c r="M363" s="6">
        <v>6.8949999999999997E-2</v>
      </c>
      <c r="N363" s="6">
        <v>1.2823000000000001E-3</v>
      </c>
      <c r="O363" s="6" t="s">
        <v>17</v>
      </c>
    </row>
    <row r="364" spans="1:15" ht="17" x14ac:dyDescent="0.35">
      <c r="A364" s="9">
        <v>115.91</v>
      </c>
      <c r="B364" s="11">
        <v>20.334</v>
      </c>
      <c r="C364" s="6">
        <v>20.341999999999999</v>
      </c>
      <c r="D364" s="6">
        <v>4.9159000000000001E-2</v>
      </c>
      <c r="E364" s="6">
        <v>-0.98560999999999999</v>
      </c>
      <c r="F364" s="6">
        <v>-0.88565000000000005</v>
      </c>
      <c r="G364" s="6">
        <v>104.84</v>
      </c>
      <c r="H364" s="6">
        <v>27.388999999999999</v>
      </c>
      <c r="I364" s="6">
        <v>94.718000000000004</v>
      </c>
      <c r="J364" s="6">
        <v>388.24</v>
      </c>
      <c r="K364" s="6">
        <v>7.9312999999999995E-2</v>
      </c>
      <c r="L364" s="6">
        <v>45.719000000000001</v>
      </c>
      <c r="M364" s="6">
        <v>6.8848000000000006E-2</v>
      </c>
      <c r="N364" s="6">
        <v>1.2742000000000001E-3</v>
      </c>
      <c r="O364" s="6" t="s">
        <v>17</v>
      </c>
    </row>
    <row r="365" spans="1:15" ht="17" x14ac:dyDescent="0.35">
      <c r="A365" s="9">
        <v>115.96</v>
      </c>
      <c r="B365" s="11">
        <v>20.39</v>
      </c>
      <c r="C365" s="6">
        <v>20.323</v>
      </c>
      <c r="D365" s="6">
        <v>4.9203999999999998E-2</v>
      </c>
      <c r="E365" s="6">
        <v>-0.98145000000000004</v>
      </c>
      <c r="F365" s="6">
        <v>-0.88112000000000001</v>
      </c>
      <c r="G365" s="6">
        <v>104.87</v>
      </c>
      <c r="H365" s="6">
        <v>27.395</v>
      </c>
      <c r="I365" s="6">
        <v>94.965000000000003</v>
      </c>
      <c r="J365" s="6">
        <v>387.4</v>
      </c>
      <c r="K365" s="6">
        <v>7.9882999999999996E-2</v>
      </c>
      <c r="L365" s="6">
        <v>45.628</v>
      </c>
      <c r="M365" s="6">
        <v>6.8746000000000002E-2</v>
      </c>
      <c r="N365" s="6">
        <v>1.2662000000000001E-3</v>
      </c>
      <c r="O365" s="6" t="s">
        <v>17</v>
      </c>
    </row>
    <row r="366" spans="1:15" ht="17" x14ac:dyDescent="0.35">
      <c r="A366" s="9">
        <v>116.01</v>
      </c>
      <c r="B366" s="11">
        <v>20.446000000000002</v>
      </c>
      <c r="C366" s="6">
        <v>20.305</v>
      </c>
      <c r="D366" s="6">
        <v>4.9249000000000001E-2</v>
      </c>
      <c r="E366" s="6">
        <v>-0.97729999999999995</v>
      </c>
      <c r="F366" s="6">
        <v>-0.87660000000000005</v>
      </c>
      <c r="G366" s="6">
        <v>104.91</v>
      </c>
      <c r="H366" s="6">
        <v>27.402000000000001</v>
      </c>
      <c r="I366" s="6">
        <v>95.213999999999999</v>
      </c>
      <c r="J366" s="6">
        <v>386.56</v>
      </c>
      <c r="K366" s="6">
        <v>8.0454999999999999E-2</v>
      </c>
      <c r="L366" s="6">
        <v>45.537999999999997</v>
      </c>
      <c r="M366" s="6">
        <v>6.8644999999999998E-2</v>
      </c>
      <c r="N366" s="6">
        <v>1.2581000000000001E-3</v>
      </c>
      <c r="O366" s="6" t="s">
        <v>17</v>
      </c>
    </row>
    <row r="367" spans="1:15" ht="17" x14ac:dyDescent="0.35">
      <c r="A367" s="9">
        <v>116.07</v>
      </c>
      <c r="B367" s="11">
        <v>20.503</v>
      </c>
      <c r="C367" s="6">
        <v>20.286000000000001</v>
      </c>
      <c r="D367" s="6">
        <v>4.9293999999999998E-2</v>
      </c>
      <c r="E367" s="6">
        <v>-0.97314000000000001</v>
      </c>
      <c r="F367" s="6">
        <v>-0.87207999999999997</v>
      </c>
      <c r="G367" s="6">
        <v>104.95</v>
      </c>
      <c r="H367" s="6">
        <v>27.408000000000001</v>
      </c>
      <c r="I367" s="6">
        <v>95.463999999999999</v>
      </c>
      <c r="J367" s="6">
        <v>385.72</v>
      </c>
      <c r="K367" s="6">
        <v>8.1030000000000005E-2</v>
      </c>
      <c r="L367" s="6">
        <v>45.448</v>
      </c>
      <c r="M367" s="6">
        <v>6.8543000000000007E-2</v>
      </c>
      <c r="N367" s="6">
        <v>1.2501000000000001E-3</v>
      </c>
      <c r="O367" s="6" t="s">
        <v>17</v>
      </c>
    </row>
    <row r="368" spans="1:15" ht="17" x14ac:dyDescent="0.35">
      <c r="A368" s="9">
        <v>116.12</v>
      </c>
      <c r="B368" s="11">
        <v>20.559000000000001</v>
      </c>
      <c r="C368" s="6">
        <v>20.268000000000001</v>
      </c>
      <c r="D368" s="6">
        <v>4.9340000000000002E-2</v>
      </c>
      <c r="E368" s="6">
        <v>-0.96899000000000002</v>
      </c>
      <c r="F368" s="6">
        <v>-0.86755000000000004</v>
      </c>
      <c r="G368" s="6">
        <v>104.98</v>
      </c>
      <c r="H368" s="6">
        <v>27.414999999999999</v>
      </c>
      <c r="I368" s="6">
        <v>95.716999999999999</v>
      </c>
      <c r="J368" s="6">
        <v>384.89</v>
      </c>
      <c r="K368" s="6">
        <v>8.1608E-2</v>
      </c>
      <c r="L368" s="6">
        <v>45.357999999999997</v>
      </c>
      <c r="M368" s="6">
        <v>6.8442000000000003E-2</v>
      </c>
      <c r="N368" s="6">
        <v>1.2421999999999999E-3</v>
      </c>
      <c r="O368" s="6" t="s">
        <v>17</v>
      </c>
    </row>
    <row r="369" spans="1:15" ht="17" x14ac:dyDescent="0.35">
      <c r="A369" s="9">
        <v>116.17</v>
      </c>
      <c r="B369" s="11">
        <v>20.614999999999998</v>
      </c>
      <c r="C369" s="6">
        <v>20.248999999999999</v>
      </c>
      <c r="D369" s="6">
        <v>4.9384999999999998E-2</v>
      </c>
      <c r="E369" s="6">
        <v>-0.96484000000000003</v>
      </c>
      <c r="F369" s="6">
        <v>-0.86302999999999996</v>
      </c>
      <c r="G369" s="6">
        <v>105.02</v>
      </c>
      <c r="H369" s="6">
        <v>27.422000000000001</v>
      </c>
      <c r="I369" s="6">
        <v>95.971999999999994</v>
      </c>
      <c r="J369" s="6">
        <v>384.05</v>
      </c>
      <c r="K369" s="6">
        <v>8.2188999999999998E-2</v>
      </c>
      <c r="L369" s="6">
        <v>45.268000000000001</v>
      </c>
      <c r="M369" s="6">
        <v>6.8340999999999999E-2</v>
      </c>
      <c r="N369" s="6">
        <v>1.2342E-3</v>
      </c>
      <c r="O369" s="6" t="s">
        <v>17</v>
      </c>
    </row>
    <row r="370" spans="1:15" ht="17" x14ac:dyDescent="0.35">
      <c r="A370" s="9">
        <v>116.22</v>
      </c>
      <c r="B370" s="11">
        <v>20.672000000000001</v>
      </c>
      <c r="C370" s="6">
        <v>20.23</v>
      </c>
      <c r="D370" s="6">
        <v>4.9431000000000003E-2</v>
      </c>
      <c r="E370" s="6">
        <v>-0.96069000000000004</v>
      </c>
      <c r="F370" s="6">
        <v>-0.85851</v>
      </c>
      <c r="G370" s="6">
        <v>105.06</v>
      </c>
      <c r="H370" s="6">
        <v>27.428999999999998</v>
      </c>
      <c r="I370" s="6">
        <v>96.228999999999999</v>
      </c>
      <c r="J370" s="6">
        <v>383.21</v>
      </c>
      <c r="K370" s="6">
        <v>8.2772999999999999E-2</v>
      </c>
      <c r="L370" s="6">
        <v>45.179000000000002</v>
      </c>
      <c r="M370" s="6">
        <v>6.8240999999999996E-2</v>
      </c>
      <c r="N370" s="6">
        <v>1.2263E-3</v>
      </c>
      <c r="O370" s="6" t="s">
        <v>17</v>
      </c>
    </row>
    <row r="371" spans="1:15" ht="17" x14ac:dyDescent="0.35">
      <c r="A371" s="9">
        <v>116.27</v>
      </c>
      <c r="B371" s="11">
        <v>20.728000000000002</v>
      </c>
      <c r="C371" s="6">
        <v>20.212</v>
      </c>
      <c r="D371" s="6">
        <v>4.9475999999999999E-2</v>
      </c>
      <c r="E371" s="6">
        <v>-0.95655000000000001</v>
      </c>
      <c r="F371" s="6">
        <v>-0.85399000000000003</v>
      </c>
      <c r="G371" s="6">
        <v>105.09</v>
      </c>
      <c r="H371" s="6">
        <v>27.436</v>
      </c>
      <c r="I371" s="6">
        <v>96.489000000000004</v>
      </c>
      <c r="J371" s="6">
        <v>382.37</v>
      </c>
      <c r="K371" s="6">
        <v>8.3359000000000003E-2</v>
      </c>
      <c r="L371" s="6">
        <v>45.088999999999999</v>
      </c>
      <c r="M371" s="6">
        <v>6.8140000000000006E-2</v>
      </c>
      <c r="N371" s="6">
        <v>1.2183999999999999E-3</v>
      </c>
      <c r="O371" s="6" t="s">
        <v>17</v>
      </c>
    </row>
    <row r="372" spans="1:15" ht="17" x14ac:dyDescent="0.35">
      <c r="A372" s="9">
        <v>116.32</v>
      </c>
      <c r="B372" s="11">
        <v>20.783999999999999</v>
      </c>
      <c r="C372" s="6">
        <v>20.193000000000001</v>
      </c>
      <c r="D372" s="6">
        <v>4.9521999999999997E-2</v>
      </c>
      <c r="E372" s="6">
        <v>-0.95240000000000002</v>
      </c>
      <c r="F372" s="6">
        <v>-0.84948000000000001</v>
      </c>
      <c r="G372" s="6">
        <v>105.13</v>
      </c>
      <c r="H372" s="6">
        <v>27.443000000000001</v>
      </c>
      <c r="I372" s="6">
        <v>96.75</v>
      </c>
      <c r="J372" s="6">
        <v>381.54</v>
      </c>
      <c r="K372" s="6">
        <v>8.3947999999999995E-2</v>
      </c>
      <c r="L372" s="6">
        <v>45</v>
      </c>
      <c r="M372" s="6">
        <v>6.8040000000000003E-2</v>
      </c>
      <c r="N372" s="6">
        <v>1.2105E-3</v>
      </c>
      <c r="O372" s="6" t="s">
        <v>17</v>
      </c>
    </row>
    <row r="373" spans="1:15" ht="17" x14ac:dyDescent="0.35">
      <c r="A373" s="9">
        <v>116.38</v>
      </c>
      <c r="B373" s="11">
        <v>20.84</v>
      </c>
      <c r="C373" s="6">
        <v>20.173999999999999</v>
      </c>
      <c r="D373" s="6">
        <v>4.9568000000000001E-2</v>
      </c>
      <c r="E373" s="6">
        <v>-0.94825999999999999</v>
      </c>
      <c r="F373" s="6">
        <v>-0.84496000000000004</v>
      </c>
      <c r="G373" s="6">
        <v>105.16</v>
      </c>
      <c r="H373" s="6">
        <v>27.45</v>
      </c>
      <c r="I373" s="6">
        <v>97.013000000000005</v>
      </c>
      <c r="J373" s="6">
        <v>380.7</v>
      </c>
      <c r="K373" s="6">
        <v>8.4541000000000005E-2</v>
      </c>
      <c r="L373" s="6">
        <v>44.911000000000001</v>
      </c>
      <c r="M373" s="6">
        <v>6.794E-2</v>
      </c>
      <c r="N373" s="6">
        <v>1.2026999999999999E-3</v>
      </c>
      <c r="O373" s="6" t="s">
        <v>17</v>
      </c>
    </row>
    <row r="374" spans="1:15" ht="17" x14ac:dyDescent="0.35">
      <c r="A374" s="9">
        <v>116.43</v>
      </c>
      <c r="B374" s="11">
        <v>20.896999999999998</v>
      </c>
      <c r="C374" s="6">
        <v>20.155999999999999</v>
      </c>
      <c r="D374" s="6">
        <v>4.9613999999999998E-2</v>
      </c>
      <c r="E374" s="6">
        <v>-0.94411999999999996</v>
      </c>
      <c r="F374" s="6">
        <v>-0.84043999999999996</v>
      </c>
      <c r="G374" s="6">
        <v>105.2</v>
      </c>
      <c r="H374" s="6">
        <v>27.457000000000001</v>
      </c>
      <c r="I374" s="6">
        <v>97.278999999999996</v>
      </c>
      <c r="J374" s="6">
        <v>379.86</v>
      </c>
      <c r="K374" s="6">
        <v>8.5136000000000003E-2</v>
      </c>
      <c r="L374" s="6">
        <v>44.822000000000003</v>
      </c>
      <c r="M374" s="6">
        <v>6.7839999999999998E-2</v>
      </c>
      <c r="N374" s="6">
        <v>1.1948E-3</v>
      </c>
      <c r="O374" s="6" t="s">
        <v>17</v>
      </c>
    </row>
    <row r="375" spans="1:15" ht="17" x14ac:dyDescent="0.35">
      <c r="A375" s="9">
        <v>116.48</v>
      </c>
      <c r="B375" s="11">
        <v>20.952999999999999</v>
      </c>
      <c r="C375" s="6">
        <v>20.137</v>
      </c>
      <c r="D375" s="6">
        <v>4.9660000000000003E-2</v>
      </c>
      <c r="E375" s="6">
        <v>-0.93998000000000004</v>
      </c>
      <c r="F375" s="6">
        <v>-0.83592999999999995</v>
      </c>
      <c r="G375" s="6">
        <v>105.24</v>
      </c>
      <c r="H375" s="6">
        <v>27.463999999999999</v>
      </c>
      <c r="I375" s="6">
        <v>97.546000000000006</v>
      </c>
      <c r="J375" s="6">
        <v>379.03</v>
      </c>
      <c r="K375" s="6">
        <v>8.5734000000000005E-2</v>
      </c>
      <c r="L375" s="6">
        <v>44.732999999999997</v>
      </c>
      <c r="M375" s="6">
        <v>6.7740999999999996E-2</v>
      </c>
      <c r="N375" s="6">
        <v>1.1869999999999999E-3</v>
      </c>
      <c r="O375" s="6" t="s">
        <v>17</v>
      </c>
    </row>
    <row r="376" spans="1:15" ht="17" x14ac:dyDescent="0.35">
      <c r="A376" s="9">
        <v>116.53</v>
      </c>
      <c r="B376" s="11">
        <v>21.009</v>
      </c>
      <c r="C376" s="6">
        <v>20.117999999999999</v>
      </c>
      <c r="D376" s="6">
        <v>4.9707000000000001E-2</v>
      </c>
      <c r="E376" s="6">
        <v>-0.93584000000000001</v>
      </c>
      <c r="F376" s="6">
        <v>-0.83140999999999998</v>
      </c>
      <c r="G376" s="6">
        <v>105.27</v>
      </c>
      <c r="H376" s="6">
        <v>27.472000000000001</v>
      </c>
      <c r="I376" s="6">
        <v>97.816000000000003</v>
      </c>
      <c r="J376" s="6">
        <v>378.19</v>
      </c>
      <c r="K376" s="6">
        <v>8.6334999999999995E-2</v>
      </c>
      <c r="L376" s="6">
        <v>44.643999999999998</v>
      </c>
      <c r="M376" s="6">
        <v>6.7641000000000007E-2</v>
      </c>
      <c r="N376" s="6">
        <v>1.1793000000000001E-3</v>
      </c>
      <c r="O376" s="6" t="s">
        <v>17</v>
      </c>
    </row>
    <row r="377" spans="1:15" ht="17" x14ac:dyDescent="0.35">
      <c r="A377" s="9">
        <v>116.58</v>
      </c>
      <c r="B377" s="11">
        <v>21.065999999999999</v>
      </c>
      <c r="C377" s="6">
        <v>20.099</v>
      </c>
      <c r="D377" s="6">
        <v>4.9752999999999999E-2</v>
      </c>
      <c r="E377" s="6">
        <v>-0.93169999999999997</v>
      </c>
      <c r="F377" s="6">
        <v>-0.82689999999999997</v>
      </c>
      <c r="G377" s="6">
        <v>105.31</v>
      </c>
      <c r="H377" s="6">
        <v>27.478999999999999</v>
      </c>
      <c r="I377" s="6">
        <v>98.087999999999994</v>
      </c>
      <c r="J377" s="6">
        <v>377.36</v>
      </c>
      <c r="K377" s="6">
        <v>8.6940000000000003E-2</v>
      </c>
      <c r="L377" s="6">
        <v>44.555</v>
      </c>
      <c r="M377" s="6">
        <v>6.7542000000000005E-2</v>
      </c>
      <c r="N377" s="6">
        <v>1.1715E-3</v>
      </c>
      <c r="O377" s="6" t="s">
        <v>17</v>
      </c>
    </row>
    <row r="378" spans="1:15" ht="17" x14ac:dyDescent="0.35">
      <c r="A378" s="9">
        <v>116.63</v>
      </c>
      <c r="B378" s="11">
        <v>21.122</v>
      </c>
      <c r="C378" s="6">
        <v>20.079999999999998</v>
      </c>
      <c r="D378" s="6">
        <v>4.9799999999999997E-2</v>
      </c>
      <c r="E378" s="6">
        <v>-0.92757000000000001</v>
      </c>
      <c r="F378" s="6">
        <v>-0.82238</v>
      </c>
      <c r="G378" s="6">
        <v>105.35</v>
      </c>
      <c r="H378" s="6">
        <v>27.486999999999998</v>
      </c>
      <c r="I378" s="6">
        <v>98.363</v>
      </c>
      <c r="J378" s="6">
        <v>376.52</v>
      </c>
      <c r="K378" s="6">
        <v>8.7547E-2</v>
      </c>
      <c r="L378" s="6">
        <v>44.466999999999999</v>
      </c>
      <c r="M378" s="6">
        <v>6.7443000000000003E-2</v>
      </c>
      <c r="N378" s="6">
        <v>1.1638E-3</v>
      </c>
      <c r="O378" s="6" t="s">
        <v>17</v>
      </c>
    </row>
    <row r="379" spans="1:15" ht="17" x14ac:dyDescent="0.35">
      <c r="A379" s="9">
        <v>116.68</v>
      </c>
      <c r="B379" s="11">
        <v>21.178000000000001</v>
      </c>
      <c r="C379" s="6">
        <v>20.062000000000001</v>
      </c>
      <c r="D379" s="6">
        <v>4.9846000000000001E-2</v>
      </c>
      <c r="E379" s="6">
        <v>-0.92342999999999997</v>
      </c>
      <c r="F379" s="6">
        <v>-0.81786999999999999</v>
      </c>
      <c r="G379" s="6">
        <v>105.38</v>
      </c>
      <c r="H379" s="6">
        <v>27.494</v>
      </c>
      <c r="I379" s="6">
        <v>98.64</v>
      </c>
      <c r="J379" s="6">
        <v>375.69</v>
      </c>
      <c r="K379" s="6">
        <v>8.8158E-2</v>
      </c>
      <c r="L379" s="6">
        <v>44.378999999999998</v>
      </c>
      <c r="M379" s="6">
        <v>6.7345000000000002E-2</v>
      </c>
      <c r="N379" s="6">
        <v>1.1561E-3</v>
      </c>
      <c r="O379" s="6" t="s">
        <v>17</v>
      </c>
    </row>
    <row r="380" spans="1:15" ht="17" x14ac:dyDescent="0.35">
      <c r="A380" s="9">
        <v>116.73</v>
      </c>
      <c r="B380" s="11">
        <v>21.234000000000002</v>
      </c>
      <c r="C380" s="6">
        <v>20.042999999999999</v>
      </c>
      <c r="D380" s="6">
        <v>4.9893E-2</v>
      </c>
      <c r="E380" s="6">
        <v>-0.91930000000000001</v>
      </c>
      <c r="F380" s="6">
        <v>-0.81335999999999997</v>
      </c>
      <c r="G380" s="6">
        <v>105.42</v>
      </c>
      <c r="H380" s="6">
        <v>27.501999999999999</v>
      </c>
      <c r="I380" s="6">
        <v>98.918999999999997</v>
      </c>
      <c r="J380" s="6">
        <v>374.85</v>
      </c>
      <c r="K380" s="6">
        <v>8.8771000000000003E-2</v>
      </c>
      <c r="L380" s="6">
        <v>44.29</v>
      </c>
      <c r="M380" s="6">
        <v>6.7246E-2</v>
      </c>
      <c r="N380" s="6">
        <v>1.1483999999999999E-3</v>
      </c>
      <c r="O380" s="6" t="s">
        <v>17</v>
      </c>
    </row>
    <row r="381" spans="1:15" ht="17" x14ac:dyDescent="0.35">
      <c r="A381" s="9">
        <v>116.78</v>
      </c>
      <c r="B381" s="11">
        <v>21.291</v>
      </c>
      <c r="C381" s="6">
        <v>20.024000000000001</v>
      </c>
      <c r="D381" s="6">
        <v>4.9939999999999998E-2</v>
      </c>
      <c r="E381" s="6">
        <v>-0.91517000000000004</v>
      </c>
      <c r="F381" s="6">
        <v>-0.80884</v>
      </c>
      <c r="G381" s="6">
        <v>105.46</v>
      </c>
      <c r="H381" s="6">
        <v>27.51</v>
      </c>
      <c r="I381" s="6">
        <v>99.2</v>
      </c>
      <c r="J381" s="6">
        <v>374.02</v>
      </c>
      <c r="K381" s="6">
        <v>8.9387999999999995E-2</v>
      </c>
      <c r="L381" s="6">
        <v>44.201999999999998</v>
      </c>
      <c r="M381" s="6">
        <v>6.7147999999999999E-2</v>
      </c>
      <c r="N381" s="6">
        <v>1.1408E-3</v>
      </c>
      <c r="O381" s="6" t="s">
        <v>17</v>
      </c>
    </row>
    <row r="382" spans="1:15" ht="17" x14ac:dyDescent="0.35">
      <c r="A382" s="9">
        <v>116.83</v>
      </c>
      <c r="B382" s="11">
        <v>21.347000000000001</v>
      </c>
      <c r="C382" s="6">
        <v>20.004999999999999</v>
      </c>
      <c r="D382" s="6">
        <v>4.9986999999999997E-2</v>
      </c>
      <c r="E382" s="6">
        <v>-0.91103999999999996</v>
      </c>
      <c r="F382" s="6">
        <v>-0.80432999999999999</v>
      </c>
      <c r="G382" s="6">
        <v>105.49</v>
      </c>
      <c r="H382" s="6">
        <v>27.518000000000001</v>
      </c>
      <c r="I382" s="6">
        <v>99.483999999999995</v>
      </c>
      <c r="J382" s="6">
        <v>373.18</v>
      </c>
      <c r="K382" s="6">
        <v>9.0008000000000005E-2</v>
      </c>
      <c r="L382" s="6">
        <v>44.113999999999997</v>
      </c>
      <c r="M382" s="6">
        <v>6.7049999999999998E-2</v>
      </c>
      <c r="N382" s="6">
        <v>1.1332E-3</v>
      </c>
      <c r="O382" s="6" t="s">
        <v>17</v>
      </c>
    </row>
    <row r="383" spans="1:15" ht="17" x14ac:dyDescent="0.35">
      <c r="A383" s="9">
        <v>116.88</v>
      </c>
      <c r="B383" s="11">
        <v>21.402999999999999</v>
      </c>
      <c r="C383" s="6">
        <v>19.986000000000001</v>
      </c>
      <c r="D383" s="6">
        <v>5.0034000000000002E-2</v>
      </c>
      <c r="E383" s="6">
        <v>-0.90690999999999999</v>
      </c>
      <c r="F383" s="6">
        <v>-0.79981999999999998</v>
      </c>
      <c r="G383" s="6">
        <v>105.53</v>
      </c>
      <c r="H383" s="6">
        <v>27.526</v>
      </c>
      <c r="I383" s="6">
        <v>99.77</v>
      </c>
      <c r="J383" s="6">
        <v>372.35</v>
      </c>
      <c r="K383" s="6">
        <v>9.0631000000000003E-2</v>
      </c>
      <c r="L383" s="6">
        <v>44.026000000000003</v>
      </c>
      <c r="M383" s="6">
        <v>6.6951999999999998E-2</v>
      </c>
      <c r="N383" s="6">
        <v>1.1256E-3</v>
      </c>
      <c r="O383" s="6" t="s">
        <v>17</v>
      </c>
    </row>
    <row r="384" spans="1:15" ht="17" x14ac:dyDescent="0.35">
      <c r="A384" s="9">
        <v>116.93</v>
      </c>
      <c r="B384" s="11">
        <v>21.46</v>
      </c>
      <c r="C384" s="6">
        <v>19.966999999999999</v>
      </c>
      <c r="D384" s="6">
        <v>5.0082000000000002E-2</v>
      </c>
      <c r="E384" s="6">
        <v>-0.90278000000000003</v>
      </c>
      <c r="F384" s="6">
        <v>-0.79530999999999996</v>
      </c>
      <c r="G384" s="6">
        <v>105.56</v>
      </c>
      <c r="H384" s="6">
        <v>27.533999999999999</v>
      </c>
      <c r="I384" s="6">
        <v>100.06</v>
      </c>
      <c r="J384" s="6">
        <v>371.52</v>
      </c>
      <c r="K384" s="6">
        <v>9.1257000000000005E-2</v>
      </c>
      <c r="L384" s="6">
        <v>43.938000000000002</v>
      </c>
      <c r="M384" s="6">
        <v>6.6854999999999998E-2</v>
      </c>
      <c r="N384" s="6">
        <v>1.1180000000000001E-3</v>
      </c>
      <c r="O384" s="6" t="s">
        <v>17</v>
      </c>
    </row>
    <row r="385" spans="1:15" ht="17" x14ac:dyDescent="0.35">
      <c r="A385" s="9">
        <v>116.98</v>
      </c>
      <c r="B385" s="11">
        <v>21.515999999999998</v>
      </c>
      <c r="C385" s="6">
        <v>19.948</v>
      </c>
      <c r="D385" s="6">
        <v>5.0129E-2</v>
      </c>
      <c r="E385" s="6">
        <v>-0.89866000000000001</v>
      </c>
      <c r="F385" s="6">
        <v>-0.79079999999999995</v>
      </c>
      <c r="G385" s="6">
        <v>105.6</v>
      </c>
      <c r="H385" s="6">
        <v>27.542000000000002</v>
      </c>
      <c r="I385" s="6">
        <v>100.35</v>
      </c>
      <c r="J385" s="6">
        <v>370.68</v>
      </c>
      <c r="K385" s="6">
        <v>9.1885999999999995E-2</v>
      </c>
      <c r="L385" s="6">
        <v>43.850999999999999</v>
      </c>
      <c r="M385" s="6">
        <v>6.6756999999999997E-2</v>
      </c>
      <c r="N385" s="6">
        <v>1.1104999999999999E-3</v>
      </c>
      <c r="O385" s="6" t="s">
        <v>17</v>
      </c>
    </row>
    <row r="386" spans="1:15" ht="17" x14ac:dyDescent="0.35">
      <c r="A386" s="9">
        <v>117.03</v>
      </c>
      <c r="B386" s="11">
        <v>21.571999999999999</v>
      </c>
      <c r="C386" s="6">
        <v>19.928999999999998</v>
      </c>
      <c r="D386" s="6">
        <v>5.0176999999999999E-2</v>
      </c>
      <c r="E386" s="6">
        <v>-0.89453000000000005</v>
      </c>
      <c r="F386" s="6">
        <v>-0.78629000000000004</v>
      </c>
      <c r="G386" s="6">
        <v>105.64</v>
      </c>
      <c r="H386" s="6">
        <v>27.550999999999998</v>
      </c>
      <c r="I386" s="6">
        <v>100.64</v>
      </c>
      <c r="J386" s="6">
        <v>369.85</v>
      </c>
      <c r="K386" s="6">
        <v>9.2519000000000004E-2</v>
      </c>
      <c r="L386" s="6">
        <v>43.762999999999998</v>
      </c>
      <c r="M386" s="6">
        <v>6.6659999999999997E-2</v>
      </c>
      <c r="N386" s="6">
        <v>1.103E-3</v>
      </c>
      <c r="O386" s="6" t="s">
        <v>17</v>
      </c>
    </row>
    <row r="387" spans="1:15" ht="17" x14ac:dyDescent="0.35">
      <c r="A387" s="9">
        <v>117.08</v>
      </c>
      <c r="B387" s="11">
        <v>21.628</v>
      </c>
      <c r="C387" s="6">
        <v>19.91</v>
      </c>
      <c r="D387" s="6">
        <v>5.0224999999999999E-2</v>
      </c>
      <c r="E387" s="6">
        <v>-0.89041000000000003</v>
      </c>
      <c r="F387" s="6">
        <v>-0.78178000000000003</v>
      </c>
      <c r="G387" s="6">
        <v>105.67</v>
      </c>
      <c r="H387" s="6">
        <v>27.559000000000001</v>
      </c>
      <c r="I387" s="6">
        <v>100.94</v>
      </c>
      <c r="J387" s="6">
        <v>369.02</v>
      </c>
      <c r="K387" s="6">
        <v>9.3155000000000002E-2</v>
      </c>
      <c r="L387" s="6">
        <v>43.676000000000002</v>
      </c>
      <c r="M387" s="6">
        <v>6.6562999999999997E-2</v>
      </c>
      <c r="N387" s="6">
        <v>1.0954999999999999E-3</v>
      </c>
      <c r="O387" s="6" t="s">
        <v>17</v>
      </c>
    </row>
    <row r="388" spans="1:15" ht="17" x14ac:dyDescent="0.35">
      <c r="A388" s="9">
        <v>117.13</v>
      </c>
      <c r="B388" s="11">
        <v>21.684999999999999</v>
      </c>
      <c r="C388" s="6">
        <v>19.890999999999998</v>
      </c>
      <c r="D388" s="6">
        <v>5.0272999999999998E-2</v>
      </c>
      <c r="E388" s="6">
        <v>-0.88627999999999996</v>
      </c>
      <c r="F388" s="6">
        <v>-0.77727000000000002</v>
      </c>
      <c r="G388" s="6">
        <v>105.71</v>
      </c>
      <c r="H388" s="6">
        <v>27.567</v>
      </c>
      <c r="I388" s="6">
        <v>101.24</v>
      </c>
      <c r="J388" s="6">
        <v>368.18</v>
      </c>
      <c r="K388" s="6">
        <v>9.3795000000000003E-2</v>
      </c>
      <c r="L388" s="6">
        <v>43.588999999999999</v>
      </c>
      <c r="M388" s="6">
        <v>6.6466999999999998E-2</v>
      </c>
      <c r="N388" s="6">
        <v>1.088E-3</v>
      </c>
      <c r="O388" s="6" t="s">
        <v>17</v>
      </c>
    </row>
    <row r="389" spans="1:15" ht="17" x14ac:dyDescent="0.35">
      <c r="A389" s="9">
        <v>117.18</v>
      </c>
      <c r="B389" s="11">
        <v>21.741</v>
      </c>
      <c r="C389" s="6">
        <v>19.872</v>
      </c>
      <c r="D389" s="6">
        <v>5.0320999999999998E-2</v>
      </c>
      <c r="E389" s="6">
        <v>-0.88216000000000006</v>
      </c>
      <c r="F389" s="6">
        <v>-0.77276</v>
      </c>
      <c r="G389" s="6">
        <v>105.74</v>
      </c>
      <c r="H389" s="6">
        <v>27.576000000000001</v>
      </c>
      <c r="I389" s="6">
        <v>101.54</v>
      </c>
      <c r="J389" s="6">
        <v>367.35</v>
      </c>
      <c r="K389" s="6">
        <v>9.4436999999999993E-2</v>
      </c>
      <c r="L389" s="6">
        <v>43.500999999999998</v>
      </c>
      <c r="M389" s="6">
        <v>6.6369999999999998E-2</v>
      </c>
      <c r="N389" s="6">
        <v>1.0805000000000001E-3</v>
      </c>
      <c r="O389" s="6" t="s">
        <v>17</v>
      </c>
    </row>
    <row r="390" spans="1:15" ht="17" x14ac:dyDescent="0.35">
      <c r="A390" s="9">
        <v>117.23</v>
      </c>
      <c r="B390" s="11">
        <v>21.797000000000001</v>
      </c>
      <c r="C390" s="6">
        <v>19.853000000000002</v>
      </c>
      <c r="D390" s="6">
        <v>5.0368999999999997E-2</v>
      </c>
      <c r="E390" s="6">
        <v>-0.87804000000000004</v>
      </c>
      <c r="F390" s="6">
        <v>-0.76824000000000003</v>
      </c>
      <c r="G390" s="6">
        <v>105.78</v>
      </c>
      <c r="H390" s="6">
        <v>27.585000000000001</v>
      </c>
      <c r="I390" s="6">
        <v>101.85</v>
      </c>
      <c r="J390" s="6">
        <v>366.52</v>
      </c>
      <c r="K390" s="6">
        <v>9.5084000000000002E-2</v>
      </c>
      <c r="L390" s="6">
        <v>43.414000000000001</v>
      </c>
      <c r="M390" s="6">
        <v>6.6274E-2</v>
      </c>
      <c r="N390" s="6">
        <v>1.0731E-3</v>
      </c>
      <c r="O390" s="6" t="s">
        <v>17</v>
      </c>
    </row>
    <row r="391" spans="1:15" ht="17" x14ac:dyDescent="0.35">
      <c r="A391" s="9">
        <v>117.28</v>
      </c>
      <c r="B391" s="11">
        <v>21.853999999999999</v>
      </c>
      <c r="C391" s="6">
        <v>19.834</v>
      </c>
      <c r="D391" s="6">
        <v>5.0417999999999998E-2</v>
      </c>
      <c r="E391" s="6">
        <v>-0.87390999999999996</v>
      </c>
      <c r="F391" s="6">
        <v>-0.76373000000000002</v>
      </c>
      <c r="G391" s="6">
        <v>105.82</v>
      </c>
      <c r="H391" s="6">
        <v>27.593</v>
      </c>
      <c r="I391" s="6">
        <v>102.15</v>
      </c>
      <c r="J391" s="6">
        <v>365.69</v>
      </c>
      <c r="K391" s="6">
        <v>9.5732999999999999E-2</v>
      </c>
      <c r="L391" s="6">
        <v>43.326999999999998</v>
      </c>
      <c r="M391" s="6">
        <v>6.6178000000000001E-2</v>
      </c>
      <c r="N391" s="6">
        <v>1.0656999999999999E-3</v>
      </c>
      <c r="O391" s="6" t="s">
        <v>17</v>
      </c>
    </row>
    <row r="392" spans="1:15" ht="17" x14ac:dyDescent="0.35">
      <c r="A392" s="9">
        <v>117.33</v>
      </c>
      <c r="B392" s="11">
        <v>21.91</v>
      </c>
      <c r="C392" s="6">
        <v>19.815000000000001</v>
      </c>
      <c r="D392" s="6">
        <v>5.0465999999999997E-2</v>
      </c>
      <c r="E392" s="6">
        <v>-0.86978999999999995</v>
      </c>
      <c r="F392" s="6">
        <v>-0.75922000000000001</v>
      </c>
      <c r="G392" s="6">
        <v>105.85</v>
      </c>
      <c r="H392" s="6">
        <v>27.602</v>
      </c>
      <c r="I392" s="6">
        <v>102.46</v>
      </c>
      <c r="J392" s="6">
        <v>364.85</v>
      </c>
      <c r="K392" s="6">
        <v>9.6385999999999999E-2</v>
      </c>
      <c r="L392" s="6">
        <v>43.24</v>
      </c>
      <c r="M392" s="6">
        <v>6.6082000000000002E-2</v>
      </c>
      <c r="N392" s="6">
        <v>1.0583000000000001E-3</v>
      </c>
      <c r="O392" s="6" t="s">
        <v>17</v>
      </c>
    </row>
    <row r="393" spans="1:15" ht="17" x14ac:dyDescent="0.35">
      <c r="A393" s="9">
        <v>117.38</v>
      </c>
      <c r="B393" s="11">
        <v>21.966000000000001</v>
      </c>
      <c r="C393" s="6">
        <v>19.795999999999999</v>
      </c>
      <c r="D393" s="6">
        <v>5.0514999999999997E-2</v>
      </c>
      <c r="E393" s="6">
        <v>-0.86567000000000005</v>
      </c>
      <c r="F393" s="6">
        <v>-0.75470999999999999</v>
      </c>
      <c r="G393" s="6">
        <v>105.89</v>
      </c>
      <c r="H393" s="6">
        <v>27.611000000000001</v>
      </c>
      <c r="I393" s="6">
        <v>102.78</v>
      </c>
      <c r="J393" s="6">
        <v>364.02</v>
      </c>
      <c r="K393" s="6">
        <v>9.7043000000000004E-2</v>
      </c>
      <c r="L393" s="6">
        <v>43.154000000000003</v>
      </c>
      <c r="M393" s="6">
        <v>6.5986000000000003E-2</v>
      </c>
      <c r="N393" s="6">
        <v>1.0510000000000001E-3</v>
      </c>
      <c r="O393" s="6" t="s">
        <v>17</v>
      </c>
    </row>
    <row r="394" spans="1:15" ht="17" x14ac:dyDescent="0.35">
      <c r="A394" s="9">
        <v>117.43</v>
      </c>
      <c r="B394" s="11">
        <v>22.023</v>
      </c>
      <c r="C394" s="6">
        <v>19.777000000000001</v>
      </c>
      <c r="D394" s="6">
        <v>5.0563999999999998E-2</v>
      </c>
      <c r="E394" s="6">
        <v>-0.86155000000000004</v>
      </c>
      <c r="F394" s="6">
        <v>-0.75019999999999998</v>
      </c>
      <c r="G394" s="6">
        <v>105.92</v>
      </c>
      <c r="H394" s="6">
        <v>27.62</v>
      </c>
      <c r="I394" s="6">
        <v>103.09</v>
      </c>
      <c r="J394" s="6">
        <v>363.19</v>
      </c>
      <c r="K394" s="6">
        <v>9.7702999999999998E-2</v>
      </c>
      <c r="L394" s="6">
        <v>43.067</v>
      </c>
      <c r="M394" s="6">
        <v>6.5891000000000005E-2</v>
      </c>
      <c r="N394" s="6">
        <v>1.0437000000000001E-3</v>
      </c>
      <c r="O394" s="6" t="s">
        <v>17</v>
      </c>
    </row>
    <row r="395" spans="1:15" ht="17" x14ac:dyDescent="0.35">
      <c r="A395" s="9">
        <v>117.48</v>
      </c>
      <c r="B395" s="11">
        <v>22.079000000000001</v>
      </c>
      <c r="C395" s="6">
        <v>19.757999999999999</v>
      </c>
      <c r="D395" s="6">
        <v>5.0612999999999998E-2</v>
      </c>
      <c r="E395" s="6">
        <v>-0.85743000000000003</v>
      </c>
      <c r="F395" s="6">
        <v>-0.74568999999999996</v>
      </c>
      <c r="G395" s="6">
        <v>105.96</v>
      </c>
      <c r="H395" s="6">
        <v>27.63</v>
      </c>
      <c r="I395" s="6">
        <v>103.41</v>
      </c>
      <c r="J395" s="6">
        <v>362.36</v>
      </c>
      <c r="K395" s="6">
        <v>9.8366999999999996E-2</v>
      </c>
      <c r="L395" s="6">
        <v>42.98</v>
      </c>
      <c r="M395" s="6">
        <v>6.5795999999999993E-2</v>
      </c>
      <c r="N395" s="6">
        <v>1.0364E-3</v>
      </c>
      <c r="O395" s="6" t="s">
        <v>17</v>
      </c>
    </row>
    <row r="396" spans="1:15" ht="17" x14ac:dyDescent="0.35">
      <c r="A396" s="9">
        <v>117.53</v>
      </c>
      <c r="B396" s="11">
        <v>22.135000000000002</v>
      </c>
      <c r="C396" s="6">
        <v>19.739000000000001</v>
      </c>
      <c r="D396" s="6">
        <v>5.0661999999999999E-2</v>
      </c>
      <c r="E396" s="6">
        <v>-0.85331000000000001</v>
      </c>
      <c r="F396" s="6">
        <v>-0.74117</v>
      </c>
      <c r="G396" s="6">
        <v>106</v>
      </c>
      <c r="H396" s="6">
        <v>27.638999999999999</v>
      </c>
      <c r="I396" s="6">
        <v>103.73</v>
      </c>
      <c r="J396" s="6">
        <v>361.52</v>
      </c>
      <c r="K396" s="6">
        <v>9.9033999999999997E-2</v>
      </c>
      <c r="L396" s="6">
        <v>42.893999999999998</v>
      </c>
      <c r="M396" s="6">
        <v>6.5700999999999996E-2</v>
      </c>
      <c r="N396" s="6">
        <v>1.0291E-3</v>
      </c>
      <c r="O396" s="6" t="s">
        <v>17</v>
      </c>
    </row>
    <row r="397" spans="1:15" ht="17" x14ac:dyDescent="0.35">
      <c r="A397" s="9">
        <v>117.58</v>
      </c>
      <c r="B397" s="11">
        <v>22.190999999999999</v>
      </c>
      <c r="C397" s="6">
        <v>19.72</v>
      </c>
      <c r="D397" s="6">
        <v>5.0710999999999999E-2</v>
      </c>
      <c r="E397" s="6">
        <v>-0.84919999999999995</v>
      </c>
      <c r="F397" s="6">
        <v>-0.73665999999999998</v>
      </c>
      <c r="G397" s="6">
        <v>106.03</v>
      </c>
      <c r="H397" s="6">
        <v>27.648</v>
      </c>
      <c r="I397" s="6">
        <v>104.05</v>
      </c>
      <c r="J397" s="6">
        <v>360.69</v>
      </c>
      <c r="K397" s="6">
        <v>9.9705000000000002E-2</v>
      </c>
      <c r="L397" s="6">
        <v>42.807000000000002</v>
      </c>
      <c r="M397" s="6">
        <v>6.5605999999999998E-2</v>
      </c>
      <c r="N397" s="6">
        <v>1.0218E-3</v>
      </c>
      <c r="O397" s="6" t="s">
        <v>17</v>
      </c>
    </row>
    <row r="398" spans="1:15" ht="17" x14ac:dyDescent="0.35">
      <c r="A398" s="9">
        <v>117.63</v>
      </c>
      <c r="B398" s="11">
        <v>22.248000000000001</v>
      </c>
      <c r="C398" s="6">
        <v>19.7</v>
      </c>
      <c r="D398" s="6">
        <v>5.0761000000000001E-2</v>
      </c>
      <c r="E398" s="6">
        <v>-0.84508000000000005</v>
      </c>
      <c r="F398" s="6">
        <v>-0.73214999999999997</v>
      </c>
      <c r="G398" s="6">
        <v>106.07</v>
      </c>
      <c r="H398" s="6">
        <v>27.658000000000001</v>
      </c>
      <c r="I398" s="6">
        <v>104.38</v>
      </c>
      <c r="J398" s="6">
        <v>359.86</v>
      </c>
      <c r="K398" s="6">
        <v>0.10038</v>
      </c>
      <c r="L398" s="6">
        <v>42.720999999999997</v>
      </c>
      <c r="M398" s="6">
        <v>6.5511E-2</v>
      </c>
      <c r="N398" s="6">
        <v>1.0146000000000001E-3</v>
      </c>
      <c r="O398" s="6" t="s">
        <v>17</v>
      </c>
    </row>
    <row r="399" spans="1:15" ht="17" x14ac:dyDescent="0.35">
      <c r="A399" s="9">
        <v>117.68</v>
      </c>
      <c r="B399" s="11">
        <v>22.303999999999998</v>
      </c>
      <c r="C399" s="6">
        <v>19.681000000000001</v>
      </c>
      <c r="D399" s="6">
        <v>5.0810000000000001E-2</v>
      </c>
      <c r="E399" s="6">
        <v>-0.84096000000000004</v>
      </c>
      <c r="F399" s="6">
        <v>-0.72763</v>
      </c>
      <c r="G399" s="6">
        <v>106.1</v>
      </c>
      <c r="H399" s="6">
        <v>27.667000000000002</v>
      </c>
      <c r="I399" s="6">
        <v>104.71</v>
      </c>
      <c r="J399" s="6">
        <v>359.03</v>
      </c>
      <c r="K399" s="6">
        <v>0.10106</v>
      </c>
      <c r="L399" s="6">
        <v>42.634999999999998</v>
      </c>
      <c r="M399" s="6">
        <v>6.5417000000000003E-2</v>
      </c>
      <c r="N399" s="6">
        <v>1.0074000000000001E-3</v>
      </c>
      <c r="O399" s="6" t="s">
        <v>17</v>
      </c>
    </row>
    <row r="400" spans="1:15" ht="17" x14ac:dyDescent="0.35">
      <c r="A400" s="9">
        <v>117.73</v>
      </c>
      <c r="B400" s="11">
        <v>22.36</v>
      </c>
      <c r="C400" s="6">
        <v>19.661999999999999</v>
      </c>
      <c r="D400" s="6">
        <v>5.0860000000000002E-2</v>
      </c>
      <c r="E400" s="6">
        <v>-0.83684000000000003</v>
      </c>
      <c r="F400" s="6">
        <v>-0.72311999999999999</v>
      </c>
      <c r="G400" s="6">
        <v>106.14</v>
      </c>
      <c r="H400" s="6">
        <v>27.677</v>
      </c>
      <c r="I400" s="6">
        <v>105.04</v>
      </c>
      <c r="J400" s="6">
        <v>358.19</v>
      </c>
      <c r="K400" s="6">
        <v>0.10174</v>
      </c>
      <c r="L400" s="6">
        <v>42.548999999999999</v>
      </c>
      <c r="M400" s="6">
        <v>6.5323000000000006E-2</v>
      </c>
      <c r="N400" s="6">
        <v>1.0001999999999999E-3</v>
      </c>
      <c r="O400" s="6" t="s">
        <v>17</v>
      </c>
    </row>
    <row r="401" spans="1:15" ht="17" x14ac:dyDescent="0.35">
      <c r="A401" s="9">
        <v>117.77</v>
      </c>
      <c r="B401" s="11">
        <v>22.417000000000002</v>
      </c>
      <c r="C401" s="6">
        <v>19.641999999999999</v>
      </c>
      <c r="D401" s="6">
        <v>5.0909999999999997E-2</v>
      </c>
      <c r="E401" s="6">
        <v>-0.83272000000000002</v>
      </c>
      <c r="F401" s="6">
        <v>-0.71860000000000002</v>
      </c>
      <c r="G401" s="6">
        <v>106.18</v>
      </c>
      <c r="H401" s="6">
        <v>27.687000000000001</v>
      </c>
      <c r="I401" s="6">
        <v>105.38</v>
      </c>
      <c r="J401" s="6">
        <v>357.36</v>
      </c>
      <c r="K401" s="6">
        <v>0.10242</v>
      </c>
      <c r="L401" s="6">
        <v>42.463000000000001</v>
      </c>
      <c r="M401" s="6">
        <v>6.5228999999999995E-2</v>
      </c>
      <c r="N401" s="6">
        <v>9.930500000000001E-4</v>
      </c>
      <c r="O401" s="6" t="s">
        <v>17</v>
      </c>
    </row>
    <row r="402" spans="1:15" ht="17" x14ac:dyDescent="0.35">
      <c r="A402" s="9">
        <v>117.82</v>
      </c>
      <c r="B402" s="11">
        <v>22.472999999999999</v>
      </c>
      <c r="C402" s="6">
        <v>19.623000000000001</v>
      </c>
      <c r="D402" s="6">
        <v>5.0959999999999998E-2</v>
      </c>
      <c r="E402" s="6">
        <v>-0.82860999999999996</v>
      </c>
      <c r="F402" s="6">
        <v>-0.71408000000000005</v>
      </c>
      <c r="G402" s="6">
        <v>106.21</v>
      </c>
      <c r="H402" s="6">
        <v>27.696999999999999</v>
      </c>
      <c r="I402" s="6">
        <v>105.72</v>
      </c>
      <c r="J402" s="6">
        <v>356.53</v>
      </c>
      <c r="K402" s="6">
        <v>0.10310999999999999</v>
      </c>
      <c r="L402" s="6">
        <v>42.377000000000002</v>
      </c>
      <c r="M402" s="6">
        <v>6.5134999999999998E-2</v>
      </c>
      <c r="N402" s="6">
        <v>9.8591999999999994E-4</v>
      </c>
      <c r="O402" s="6" t="s">
        <v>17</v>
      </c>
    </row>
    <row r="403" spans="1:15" ht="17" x14ac:dyDescent="0.35">
      <c r="A403" s="9">
        <v>117.87</v>
      </c>
      <c r="B403" s="11">
        <v>22.529</v>
      </c>
      <c r="C403" s="6">
        <v>19.603999999999999</v>
      </c>
      <c r="D403" s="6">
        <v>5.1011000000000001E-2</v>
      </c>
      <c r="E403" s="6">
        <v>-0.82448999999999995</v>
      </c>
      <c r="F403" s="6">
        <v>-0.70957000000000003</v>
      </c>
      <c r="G403" s="6">
        <v>106.25</v>
      </c>
      <c r="H403" s="6">
        <v>27.707000000000001</v>
      </c>
      <c r="I403" s="6">
        <v>106.06</v>
      </c>
      <c r="J403" s="6">
        <v>355.7</v>
      </c>
      <c r="K403" s="6">
        <v>0.10381</v>
      </c>
      <c r="L403" s="6">
        <v>42.290999999999997</v>
      </c>
      <c r="M403" s="6">
        <v>6.5042000000000003E-2</v>
      </c>
      <c r="N403" s="6">
        <v>9.788100000000001E-4</v>
      </c>
      <c r="O403" s="6" t="s">
        <v>17</v>
      </c>
    </row>
    <row r="404" spans="1:15" ht="17" x14ac:dyDescent="0.35">
      <c r="A404" s="9">
        <v>117.92</v>
      </c>
      <c r="B404" s="11">
        <v>22.585000000000001</v>
      </c>
      <c r="C404" s="6">
        <v>19.584</v>
      </c>
      <c r="D404" s="6">
        <v>5.1061000000000002E-2</v>
      </c>
      <c r="E404" s="6">
        <v>-0.82037000000000004</v>
      </c>
      <c r="F404" s="6">
        <v>-0.70504999999999995</v>
      </c>
      <c r="G404" s="6">
        <v>106.28</v>
      </c>
      <c r="H404" s="6">
        <v>27.716999999999999</v>
      </c>
      <c r="I404" s="6">
        <v>106.41</v>
      </c>
      <c r="J404" s="6">
        <v>354.87</v>
      </c>
      <c r="K404" s="6">
        <v>0.1045</v>
      </c>
      <c r="L404" s="6">
        <v>42.204999999999998</v>
      </c>
      <c r="M404" s="6">
        <v>6.4949000000000007E-2</v>
      </c>
      <c r="N404" s="6">
        <v>9.7172000000000003E-4</v>
      </c>
      <c r="O404" s="6" t="s">
        <v>17</v>
      </c>
    </row>
    <row r="405" spans="1:15" ht="17" x14ac:dyDescent="0.35">
      <c r="A405" s="9">
        <v>117.97</v>
      </c>
      <c r="B405" s="11">
        <v>22.641999999999999</v>
      </c>
      <c r="C405" s="6">
        <v>19.565000000000001</v>
      </c>
      <c r="D405" s="6">
        <v>5.1111999999999998E-2</v>
      </c>
      <c r="E405" s="6">
        <v>-0.81625000000000003</v>
      </c>
      <c r="F405" s="6">
        <v>-0.70052999999999999</v>
      </c>
      <c r="G405" s="6">
        <v>106.32</v>
      </c>
      <c r="H405" s="6">
        <v>27.727</v>
      </c>
      <c r="I405" s="6">
        <v>106.76</v>
      </c>
      <c r="J405" s="6">
        <v>354.03</v>
      </c>
      <c r="K405" s="6">
        <v>0.10521</v>
      </c>
      <c r="L405" s="6">
        <v>42.12</v>
      </c>
      <c r="M405" s="6">
        <v>6.4855999999999997E-2</v>
      </c>
      <c r="N405" s="6">
        <v>9.6464999999999995E-4</v>
      </c>
      <c r="O405" s="6" t="s">
        <v>17</v>
      </c>
    </row>
    <row r="406" spans="1:15" ht="17" x14ac:dyDescent="0.35">
      <c r="A406" s="9">
        <v>118.02</v>
      </c>
      <c r="B406" s="11">
        <v>22.698</v>
      </c>
      <c r="C406" s="6">
        <v>19.545999999999999</v>
      </c>
      <c r="D406" s="6">
        <v>5.1163E-2</v>
      </c>
      <c r="E406" s="6">
        <v>-0.81213999999999997</v>
      </c>
      <c r="F406" s="6">
        <v>-0.69601000000000002</v>
      </c>
      <c r="G406" s="6">
        <v>106.36</v>
      </c>
      <c r="H406" s="6">
        <v>27.738</v>
      </c>
      <c r="I406" s="6">
        <v>107.11</v>
      </c>
      <c r="J406" s="6">
        <v>353.2</v>
      </c>
      <c r="K406" s="6">
        <v>0.10591</v>
      </c>
      <c r="L406" s="6">
        <v>42.033999999999999</v>
      </c>
      <c r="M406" s="6">
        <v>6.4763000000000001E-2</v>
      </c>
      <c r="N406" s="6">
        <v>9.5761000000000002E-4</v>
      </c>
      <c r="O406" s="6" t="s">
        <v>17</v>
      </c>
    </row>
    <row r="407" spans="1:15" ht="17" x14ac:dyDescent="0.35">
      <c r="A407" s="9">
        <v>118.06</v>
      </c>
      <c r="B407" s="11">
        <v>22.754000000000001</v>
      </c>
      <c r="C407" s="6">
        <v>19.526</v>
      </c>
      <c r="D407" s="6">
        <v>5.1214000000000003E-2</v>
      </c>
      <c r="E407" s="6">
        <v>-0.80801999999999996</v>
      </c>
      <c r="F407" s="6">
        <v>-0.69147999999999998</v>
      </c>
      <c r="G407" s="6">
        <v>106.39</v>
      </c>
      <c r="H407" s="6">
        <v>27.748000000000001</v>
      </c>
      <c r="I407" s="6">
        <v>107.47</v>
      </c>
      <c r="J407" s="6">
        <v>352.37</v>
      </c>
      <c r="K407" s="6">
        <v>0.10662000000000001</v>
      </c>
      <c r="L407" s="6">
        <v>41.948999999999998</v>
      </c>
      <c r="M407" s="6">
        <v>6.4670000000000005E-2</v>
      </c>
      <c r="N407" s="6">
        <v>9.5058999999999996E-4</v>
      </c>
      <c r="O407" s="6" t="s">
        <v>17</v>
      </c>
    </row>
    <row r="408" spans="1:15" ht="17" x14ac:dyDescent="0.35">
      <c r="A408" s="9">
        <v>118.11</v>
      </c>
      <c r="B408" s="11">
        <v>22.811</v>
      </c>
      <c r="C408" s="6">
        <v>19.507000000000001</v>
      </c>
      <c r="D408" s="6">
        <v>5.1264999999999998E-2</v>
      </c>
      <c r="E408" s="6">
        <v>-0.80389999999999995</v>
      </c>
      <c r="F408" s="6">
        <v>-0.68696000000000002</v>
      </c>
      <c r="G408" s="6">
        <v>106.43</v>
      </c>
      <c r="H408" s="6">
        <v>27.759</v>
      </c>
      <c r="I408" s="6">
        <v>107.83</v>
      </c>
      <c r="J408" s="6">
        <v>351.54</v>
      </c>
      <c r="K408" s="6">
        <v>0.10732999999999999</v>
      </c>
      <c r="L408" s="6">
        <v>41.863</v>
      </c>
      <c r="M408" s="6">
        <v>6.4577999999999997E-2</v>
      </c>
      <c r="N408" s="6">
        <v>9.4359000000000001E-4</v>
      </c>
      <c r="O408" s="6" t="s">
        <v>17</v>
      </c>
    </row>
    <row r="409" spans="1:15" ht="17" x14ac:dyDescent="0.35">
      <c r="A409" s="9">
        <v>118.16</v>
      </c>
      <c r="B409" s="11">
        <v>22.867000000000001</v>
      </c>
      <c r="C409" s="6">
        <v>19.486999999999998</v>
      </c>
      <c r="D409" s="6">
        <v>5.1316000000000001E-2</v>
      </c>
      <c r="E409" s="6">
        <v>-0.79978000000000005</v>
      </c>
      <c r="F409" s="6">
        <v>-0.68244000000000005</v>
      </c>
      <c r="G409" s="6">
        <v>106.46</v>
      </c>
      <c r="H409" s="6">
        <v>27.768999999999998</v>
      </c>
      <c r="I409" s="6">
        <v>108.19</v>
      </c>
      <c r="J409" s="6">
        <v>350.7</v>
      </c>
      <c r="K409" s="6">
        <v>0.10804999999999999</v>
      </c>
      <c r="L409" s="6">
        <v>41.777999999999999</v>
      </c>
      <c r="M409" s="6">
        <v>6.4486000000000002E-2</v>
      </c>
      <c r="N409" s="6">
        <v>9.3661999999999999E-4</v>
      </c>
      <c r="O409" s="6" t="s">
        <v>17</v>
      </c>
    </row>
    <row r="410" spans="1:15" ht="17" x14ac:dyDescent="0.35">
      <c r="A410" s="9">
        <v>118.21</v>
      </c>
      <c r="B410" s="11">
        <v>22.922999999999998</v>
      </c>
      <c r="C410" s="6">
        <v>19.468</v>
      </c>
      <c r="D410" s="6">
        <v>5.1367999999999997E-2</v>
      </c>
      <c r="E410" s="6">
        <v>-0.79566000000000003</v>
      </c>
      <c r="F410" s="6">
        <v>-0.67791000000000001</v>
      </c>
      <c r="G410" s="6">
        <v>106.5</v>
      </c>
      <c r="H410" s="6">
        <v>27.78</v>
      </c>
      <c r="I410" s="6">
        <v>108.56</v>
      </c>
      <c r="J410" s="6">
        <v>349.87</v>
      </c>
      <c r="K410" s="6">
        <v>0.10877000000000001</v>
      </c>
      <c r="L410" s="6">
        <v>41.692999999999998</v>
      </c>
      <c r="M410" s="6">
        <v>6.4394000000000007E-2</v>
      </c>
      <c r="N410" s="6">
        <v>9.2966999999999995E-4</v>
      </c>
      <c r="O410" s="6" t="s">
        <v>17</v>
      </c>
    </row>
    <row r="411" spans="1:15" ht="17" x14ac:dyDescent="0.35">
      <c r="A411" s="9">
        <v>118.26</v>
      </c>
      <c r="B411" s="11">
        <v>22.978999999999999</v>
      </c>
      <c r="C411" s="6">
        <v>19.448</v>
      </c>
      <c r="D411" s="6">
        <v>5.1418999999999999E-2</v>
      </c>
      <c r="E411" s="6">
        <v>-0.79154000000000002</v>
      </c>
      <c r="F411" s="6">
        <v>-0.67337999999999998</v>
      </c>
      <c r="G411" s="6">
        <v>106.54</v>
      </c>
      <c r="H411" s="6">
        <v>27.791</v>
      </c>
      <c r="I411" s="6">
        <v>108.93</v>
      </c>
      <c r="J411" s="6">
        <v>349.04</v>
      </c>
      <c r="K411" s="6">
        <v>0.1095</v>
      </c>
      <c r="L411" s="6">
        <v>41.606999999999999</v>
      </c>
      <c r="M411" s="6">
        <v>6.4301999999999998E-2</v>
      </c>
      <c r="N411" s="6">
        <v>9.2274000000000002E-4</v>
      </c>
      <c r="O411" s="6" t="s">
        <v>17</v>
      </c>
    </row>
    <row r="412" spans="1:15" ht="17" x14ac:dyDescent="0.35">
      <c r="A412" s="9">
        <v>118.3</v>
      </c>
      <c r="B412" s="11">
        <v>23.036000000000001</v>
      </c>
      <c r="C412" s="6">
        <v>19.428000000000001</v>
      </c>
      <c r="D412" s="6">
        <v>5.1471000000000003E-2</v>
      </c>
      <c r="E412" s="6">
        <v>-0.78742000000000001</v>
      </c>
      <c r="F412" s="6">
        <v>-0.66886000000000001</v>
      </c>
      <c r="G412" s="6">
        <v>106.57</v>
      </c>
      <c r="H412" s="6">
        <v>27.802</v>
      </c>
      <c r="I412" s="6">
        <v>109.3</v>
      </c>
      <c r="J412" s="6">
        <v>348.2</v>
      </c>
      <c r="K412" s="6">
        <v>0.11022999999999999</v>
      </c>
      <c r="L412" s="6">
        <v>41.521999999999998</v>
      </c>
      <c r="M412" s="6">
        <v>6.4211000000000004E-2</v>
      </c>
      <c r="N412" s="6">
        <v>9.1584000000000001E-4</v>
      </c>
      <c r="O412" s="6" t="s">
        <v>17</v>
      </c>
    </row>
    <row r="413" spans="1:15" ht="17" x14ac:dyDescent="0.35">
      <c r="A413" s="9">
        <v>118.35</v>
      </c>
      <c r="B413" s="11">
        <v>23.091999999999999</v>
      </c>
      <c r="C413" s="6">
        <v>19.408999999999999</v>
      </c>
      <c r="D413" s="6">
        <v>5.1522999999999999E-2</v>
      </c>
      <c r="E413" s="6">
        <v>-0.7833</v>
      </c>
      <c r="F413" s="6">
        <v>-0.66432000000000002</v>
      </c>
      <c r="G413" s="6">
        <v>106.61</v>
      </c>
      <c r="H413" s="6">
        <v>27.812999999999999</v>
      </c>
      <c r="I413" s="6">
        <v>109.68</v>
      </c>
      <c r="J413" s="6">
        <v>347.37</v>
      </c>
      <c r="K413" s="6">
        <v>0.11096</v>
      </c>
      <c r="L413" s="6">
        <v>41.436999999999998</v>
      </c>
      <c r="M413" s="6">
        <v>6.4118999999999995E-2</v>
      </c>
      <c r="N413" s="6">
        <v>9.0896E-4</v>
      </c>
      <c r="O413" s="6" t="s">
        <v>17</v>
      </c>
    </row>
    <row r="414" spans="1:15" ht="17" x14ac:dyDescent="0.35">
      <c r="A414" s="9">
        <v>118.4</v>
      </c>
      <c r="B414" s="11">
        <v>23.148</v>
      </c>
      <c r="C414" s="6">
        <v>19.388999999999999</v>
      </c>
      <c r="D414" s="6">
        <v>5.1575999999999997E-2</v>
      </c>
      <c r="E414" s="6">
        <v>-0.77917999999999998</v>
      </c>
      <c r="F414" s="6">
        <v>-0.65978999999999999</v>
      </c>
      <c r="G414" s="6">
        <v>106.64</v>
      </c>
      <c r="H414" s="6">
        <v>27.824999999999999</v>
      </c>
      <c r="I414" s="6">
        <v>110.06</v>
      </c>
      <c r="J414" s="6">
        <v>346.54</v>
      </c>
      <c r="K414" s="6">
        <v>0.11169999999999999</v>
      </c>
      <c r="L414" s="6">
        <v>41.351999999999997</v>
      </c>
      <c r="M414" s="6">
        <v>6.4028000000000002E-2</v>
      </c>
      <c r="N414" s="6">
        <v>9.0209999999999997E-4</v>
      </c>
      <c r="O414" s="6" t="s">
        <v>17</v>
      </c>
    </row>
    <row r="415" spans="1:15" ht="17" x14ac:dyDescent="0.35">
      <c r="A415" s="9">
        <v>118.45</v>
      </c>
      <c r="B415" s="11">
        <v>23.204999999999998</v>
      </c>
      <c r="C415" s="6">
        <v>19.369</v>
      </c>
      <c r="D415" s="6">
        <v>5.1628E-2</v>
      </c>
      <c r="E415" s="6">
        <v>-0.77505999999999997</v>
      </c>
      <c r="F415" s="6">
        <v>-0.65525999999999995</v>
      </c>
      <c r="G415" s="6">
        <v>106.68</v>
      </c>
      <c r="H415" s="6">
        <v>27.835999999999999</v>
      </c>
      <c r="I415" s="6">
        <v>110.45</v>
      </c>
      <c r="J415" s="6">
        <v>345.7</v>
      </c>
      <c r="K415" s="6">
        <v>0.11244</v>
      </c>
      <c r="L415" s="6">
        <v>41.267000000000003</v>
      </c>
      <c r="M415" s="6">
        <v>6.3937999999999995E-2</v>
      </c>
      <c r="N415" s="6">
        <v>8.9526000000000004E-4</v>
      </c>
      <c r="O415" s="6" t="s">
        <v>17</v>
      </c>
    </row>
    <row r="416" spans="1:15" ht="17" x14ac:dyDescent="0.35">
      <c r="A416" s="9">
        <v>118.49</v>
      </c>
      <c r="B416" s="11">
        <v>23.260999999999999</v>
      </c>
      <c r="C416" s="6">
        <v>19.350000000000001</v>
      </c>
      <c r="D416" s="6">
        <v>5.1680999999999998E-2</v>
      </c>
      <c r="E416" s="6">
        <v>-0.77093999999999996</v>
      </c>
      <c r="F416" s="6">
        <v>-0.65071999999999997</v>
      </c>
      <c r="G416" s="6">
        <v>106.71</v>
      </c>
      <c r="H416" s="6">
        <v>27.847999999999999</v>
      </c>
      <c r="I416" s="6">
        <v>110.84</v>
      </c>
      <c r="J416" s="6">
        <v>344.87</v>
      </c>
      <c r="K416" s="6">
        <v>0.11319</v>
      </c>
      <c r="L416" s="6">
        <v>41.182000000000002</v>
      </c>
      <c r="M416" s="6">
        <v>6.3847000000000001E-2</v>
      </c>
      <c r="N416" s="6">
        <v>8.8845000000000005E-4</v>
      </c>
      <c r="O416" s="6" t="s">
        <v>17</v>
      </c>
    </row>
    <row r="417" spans="1:15" ht="17" x14ac:dyDescent="0.35">
      <c r="A417" s="9">
        <v>118.54</v>
      </c>
      <c r="B417" s="11">
        <v>23.317</v>
      </c>
      <c r="C417" s="6">
        <v>19.329999999999998</v>
      </c>
      <c r="D417" s="6">
        <v>5.1733000000000001E-2</v>
      </c>
      <c r="E417" s="6">
        <v>-0.76680999999999999</v>
      </c>
      <c r="F417" s="6">
        <v>-0.64619000000000004</v>
      </c>
      <c r="G417" s="6">
        <v>106.75</v>
      </c>
      <c r="H417" s="6">
        <v>27.859000000000002</v>
      </c>
      <c r="I417" s="6">
        <v>111.23</v>
      </c>
      <c r="J417" s="6">
        <v>344.04</v>
      </c>
      <c r="K417" s="6">
        <v>0.11394</v>
      </c>
      <c r="L417" s="6">
        <v>41.097999999999999</v>
      </c>
      <c r="M417" s="6">
        <v>6.3756999999999994E-2</v>
      </c>
      <c r="N417" s="6">
        <v>8.8166000000000004E-4</v>
      </c>
      <c r="O417" s="6" t="s">
        <v>17</v>
      </c>
    </row>
    <row r="418" spans="1:15" ht="17" x14ac:dyDescent="0.35">
      <c r="A418" s="9">
        <v>118.59</v>
      </c>
      <c r="B418" s="11">
        <v>23.373999999999999</v>
      </c>
      <c r="C418" s="6">
        <v>19.309999999999999</v>
      </c>
      <c r="D418" s="6">
        <v>5.1787E-2</v>
      </c>
      <c r="E418" s="6">
        <v>-0.76268999999999998</v>
      </c>
      <c r="F418" s="6">
        <v>-0.64165000000000005</v>
      </c>
      <c r="G418" s="6">
        <v>106.79</v>
      </c>
      <c r="H418" s="6">
        <v>27.870999999999999</v>
      </c>
      <c r="I418" s="6">
        <v>111.63</v>
      </c>
      <c r="J418" s="6">
        <v>343.2</v>
      </c>
      <c r="K418" s="6">
        <v>0.11469</v>
      </c>
      <c r="L418" s="6">
        <v>41.012999999999998</v>
      </c>
      <c r="M418" s="6">
        <v>6.3666E-2</v>
      </c>
      <c r="N418" s="6">
        <v>8.7489000000000002E-4</v>
      </c>
      <c r="O418" s="6" t="s">
        <v>17</v>
      </c>
    </row>
    <row r="419" spans="1:15" ht="17" x14ac:dyDescent="0.35">
      <c r="A419" s="9">
        <v>118.64</v>
      </c>
      <c r="B419" s="11">
        <v>23.43</v>
      </c>
      <c r="C419" s="6">
        <v>19.29</v>
      </c>
      <c r="D419" s="6">
        <v>5.1839999999999997E-2</v>
      </c>
      <c r="E419" s="6">
        <v>-0.75856999999999997</v>
      </c>
      <c r="F419" s="6">
        <v>-0.63710999999999995</v>
      </c>
      <c r="G419" s="6">
        <v>106.82</v>
      </c>
      <c r="H419" s="6">
        <v>27.882999999999999</v>
      </c>
      <c r="I419" s="6">
        <v>112.03</v>
      </c>
      <c r="J419" s="6">
        <v>342.37</v>
      </c>
      <c r="K419" s="6">
        <v>0.11545</v>
      </c>
      <c r="L419" s="6">
        <v>40.927999999999997</v>
      </c>
      <c r="M419" s="6">
        <v>6.3576999999999995E-2</v>
      </c>
      <c r="N419" s="6">
        <v>8.6813999999999999E-4</v>
      </c>
      <c r="O419" s="6" t="s">
        <v>17</v>
      </c>
    </row>
    <row r="420" spans="1:15" ht="17" x14ac:dyDescent="0.35">
      <c r="A420" s="9">
        <v>118.68</v>
      </c>
      <c r="B420" s="11">
        <v>23.486000000000001</v>
      </c>
      <c r="C420" s="6">
        <v>19.27</v>
      </c>
      <c r="D420" s="6">
        <v>5.1893000000000002E-2</v>
      </c>
      <c r="E420" s="6">
        <v>-0.75444</v>
      </c>
      <c r="F420" s="6">
        <v>-0.63256000000000001</v>
      </c>
      <c r="G420" s="6">
        <v>106.86</v>
      </c>
      <c r="H420" s="6">
        <v>27.895</v>
      </c>
      <c r="I420" s="6">
        <v>112.44</v>
      </c>
      <c r="J420" s="6">
        <v>341.53</v>
      </c>
      <c r="K420" s="6">
        <v>0.11622</v>
      </c>
      <c r="L420" s="6">
        <v>40.844000000000001</v>
      </c>
      <c r="M420" s="6">
        <v>6.3487000000000002E-2</v>
      </c>
      <c r="N420" s="6">
        <v>8.6142E-4</v>
      </c>
      <c r="O420" s="6" t="s">
        <v>17</v>
      </c>
    </row>
    <row r="421" spans="1:15" ht="17" x14ac:dyDescent="0.35">
      <c r="A421" s="9">
        <v>118.73</v>
      </c>
      <c r="B421" s="11">
        <v>23.542000000000002</v>
      </c>
      <c r="C421" s="6">
        <v>19.25</v>
      </c>
      <c r="D421" s="6">
        <v>5.1947E-2</v>
      </c>
      <c r="E421" s="6">
        <v>-0.75031000000000003</v>
      </c>
      <c r="F421" s="6">
        <v>-0.62802000000000002</v>
      </c>
      <c r="G421" s="6">
        <v>106.89</v>
      </c>
      <c r="H421" s="6">
        <v>27.908000000000001</v>
      </c>
      <c r="I421" s="6">
        <v>112.85</v>
      </c>
      <c r="J421" s="6">
        <v>340.7</v>
      </c>
      <c r="K421" s="6">
        <v>0.11698</v>
      </c>
      <c r="L421" s="6">
        <v>40.759</v>
      </c>
      <c r="M421" s="6">
        <v>6.3396999999999995E-2</v>
      </c>
      <c r="N421" s="6">
        <v>8.5472E-4</v>
      </c>
      <c r="O421" s="6" t="s">
        <v>17</v>
      </c>
    </row>
    <row r="422" spans="1:15" ht="17" x14ac:dyDescent="0.35">
      <c r="A422" s="9">
        <v>118.78</v>
      </c>
      <c r="B422" s="11">
        <v>23.599</v>
      </c>
      <c r="C422" s="6">
        <v>19.231000000000002</v>
      </c>
      <c r="D422" s="6">
        <v>5.2000999999999999E-2</v>
      </c>
      <c r="E422" s="6">
        <v>-0.74617999999999995</v>
      </c>
      <c r="F422" s="6">
        <v>-0.62346999999999997</v>
      </c>
      <c r="G422" s="6">
        <v>106.93</v>
      </c>
      <c r="H422" s="6">
        <v>27.92</v>
      </c>
      <c r="I422" s="6">
        <v>113.26</v>
      </c>
      <c r="J422" s="6">
        <v>339.86</v>
      </c>
      <c r="K422" s="6">
        <v>0.11776</v>
      </c>
      <c r="L422" s="6">
        <v>40.673999999999999</v>
      </c>
      <c r="M422" s="6">
        <v>6.3308000000000003E-2</v>
      </c>
      <c r="N422" s="6">
        <v>8.4803999999999999E-4</v>
      </c>
      <c r="O422" s="6" t="s">
        <v>17</v>
      </c>
    </row>
    <row r="423" spans="1:15" ht="17" x14ac:dyDescent="0.35">
      <c r="A423" s="9">
        <v>118.82</v>
      </c>
      <c r="B423" s="11">
        <v>23.655000000000001</v>
      </c>
      <c r="C423" s="6">
        <v>19.210999999999999</v>
      </c>
      <c r="D423" s="6">
        <v>5.2054999999999997E-2</v>
      </c>
      <c r="E423" s="6">
        <v>-0.74206000000000005</v>
      </c>
      <c r="F423" s="6">
        <v>-0.61892000000000003</v>
      </c>
      <c r="G423" s="6">
        <v>106.97</v>
      </c>
      <c r="H423" s="6">
        <v>27.931999999999999</v>
      </c>
      <c r="I423" s="6">
        <v>113.68</v>
      </c>
      <c r="J423" s="6">
        <v>339.03</v>
      </c>
      <c r="K423" s="6">
        <v>0.11854000000000001</v>
      </c>
      <c r="L423" s="6">
        <v>40.590000000000003</v>
      </c>
      <c r="M423" s="6">
        <v>6.3218999999999997E-2</v>
      </c>
      <c r="N423" s="6">
        <v>8.4139000000000002E-4</v>
      </c>
      <c r="O423" s="6" t="s">
        <v>17</v>
      </c>
    </row>
    <row r="424" spans="1:15" ht="17" x14ac:dyDescent="0.35">
      <c r="A424" s="9">
        <v>118.87</v>
      </c>
      <c r="B424" s="11">
        <v>23.710999999999999</v>
      </c>
      <c r="C424" s="6">
        <v>19.190999999999999</v>
      </c>
      <c r="D424" s="6">
        <v>5.2109000000000003E-2</v>
      </c>
      <c r="E424" s="6">
        <v>-0.73792000000000002</v>
      </c>
      <c r="F424" s="6">
        <v>-0.61436999999999997</v>
      </c>
      <c r="G424" s="6">
        <v>107</v>
      </c>
      <c r="H424" s="6">
        <v>27.945</v>
      </c>
      <c r="I424" s="6">
        <v>114.1</v>
      </c>
      <c r="J424" s="6">
        <v>338.19</v>
      </c>
      <c r="K424" s="6">
        <v>0.11932</v>
      </c>
      <c r="L424" s="6">
        <v>40.506</v>
      </c>
      <c r="M424" s="6">
        <v>6.3130000000000006E-2</v>
      </c>
      <c r="N424" s="6">
        <v>8.3474999999999999E-4</v>
      </c>
      <c r="O424" s="6" t="s">
        <v>17</v>
      </c>
    </row>
    <row r="425" spans="1:15" ht="17" x14ac:dyDescent="0.35">
      <c r="A425" s="9">
        <v>118.92</v>
      </c>
      <c r="B425" s="11">
        <v>23.768000000000001</v>
      </c>
      <c r="C425" s="6">
        <v>19.170999999999999</v>
      </c>
      <c r="D425" s="6">
        <v>5.2163000000000001E-2</v>
      </c>
      <c r="E425" s="6">
        <v>-0.73379000000000005</v>
      </c>
      <c r="F425" s="6">
        <v>-0.60980999999999996</v>
      </c>
      <c r="G425" s="6">
        <v>107.04</v>
      </c>
      <c r="H425" s="6">
        <v>27.957999999999998</v>
      </c>
      <c r="I425" s="6">
        <v>114.53</v>
      </c>
      <c r="J425" s="6">
        <v>337.35</v>
      </c>
      <c r="K425" s="6">
        <v>0.12010999999999999</v>
      </c>
      <c r="L425" s="6">
        <v>40.420999999999999</v>
      </c>
      <c r="M425" s="6">
        <v>6.3042000000000001E-2</v>
      </c>
      <c r="N425" s="6">
        <v>8.2814E-4</v>
      </c>
      <c r="O425" s="6" t="s">
        <v>17</v>
      </c>
    </row>
    <row r="426" spans="1:15" ht="17" x14ac:dyDescent="0.35">
      <c r="A426" s="9">
        <v>118.96</v>
      </c>
      <c r="B426" s="11">
        <v>23.824000000000002</v>
      </c>
      <c r="C426" s="6">
        <v>19.149999999999999</v>
      </c>
      <c r="D426" s="6">
        <v>5.2218000000000001E-2</v>
      </c>
      <c r="E426" s="6">
        <v>-0.72965999999999998</v>
      </c>
      <c r="F426" s="6">
        <v>-0.60526000000000002</v>
      </c>
      <c r="G426" s="6">
        <v>107.07</v>
      </c>
      <c r="H426" s="6">
        <v>27.971</v>
      </c>
      <c r="I426" s="6">
        <v>114.96</v>
      </c>
      <c r="J426" s="6">
        <v>336.52</v>
      </c>
      <c r="K426" s="6">
        <v>0.12089999999999999</v>
      </c>
      <c r="L426" s="6">
        <v>40.337000000000003</v>
      </c>
      <c r="M426" s="6">
        <v>6.2952999999999995E-2</v>
      </c>
      <c r="N426" s="6">
        <v>8.2154999999999999E-4</v>
      </c>
      <c r="O426" s="6" t="s">
        <v>17</v>
      </c>
    </row>
    <row r="427" spans="1:15" ht="17" x14ac:dyDescent="0.35">
      <c r="A427" s="9">
        <v>119.01</v>
      </c>
      <c r="B427" s="11">
        <v>23.88</v>
      </c>
      <c r="C427" s="6">
        <v>19.13</v>
      </c>
      <c r="D427" s="6">
        <v>5.2273E-2</v>
      </c>
      <c r="E427" s="6">
        <v>-0.72552000000000005</v>
      </c>
      <c r="F427" s="6">
        <v>-0.60070000000000001</v>
      </c>
      <c r="G427" s="6">
        <v>107.11</v>
      </c>
      <c r="H427" s="6">
        <v>27.984000000000002</v>
      </c>
      <c r="I427" s="6">
        <v>115.4</v>
      </c>
      <c r="J427" s="6">
        <v>335.68</v>
      </c>
      <c r="K427" s="6">
        <v>0.1217</v>
      </c>
      <c r="L427" s="6">
        <v>40.253</v>
      </c>
      <c r="M427" s="6">
        <v>6.2865000000000004E-2</v>
      </c>
      <c r="N427" s="6">
        <v>8.1497999999999998E-4</v>
      </c>
      <c r="O427" s="6" t="s">
        <v>17</v>
      </c>
    </row>
    <row r="428" spans="1:15" ht="17" x14ac:dyDescent="0.35">
      <c r="A428" s="9">
        <v>119.06</v>
      </c>
      <c r="B428" s="11">
        <v>23.936</v>
      </c>
      <c r="C428" s="6">
        <v>19.11</v>
      </c>
      <c r="D428" s="6">
        <v>5.2328E-2</v>
      </c>
      <c r="E428" s="6">
        <v>-0.72138999999999998</v>
      </c>
      <c r="F428" s="6">
        <v>-0.59613000000000005</v>
      </c>
      <c r="G428" s="6">
        <v>107.14</v>
      </c>
      <c r="H428" s="6">
        <v>27.997</v>
      </c>
      <c r="I428" s="6">
        <v>115.84</v>
      </c>
      <c r="J428" s="6">
        <v>334.84</v>
      </c>
      <c r="K428" s="6">
        <v>0.1225</v>
      </c>
      <c r="L428" s="6">
        <v>40.167999999999999</v>
      </c>
      <c r="M428" s="6">
        <v>6.2776999999999999E-2</v>
      </c>
      <c r="N428" s="6">
        <v>8.0844E-4</v>
      </c>
      <c r="O428" s="6" t="s">
        <v>17</v>
      </c>
    </row>
    <row r="429" spans="1:15" ht="17" x14ac:dyDescent="0.35">
      <c r="A429" s="9">
        <v>119.1</v>
      </c>
      <c r="B429" s="11">
        <v>23.992999999999999</v>
      </c>
      <c r="C429" s="6">
        <v>19.09</v>
      </c>
      <c r="D429" s="6">
        <v>5.2382999999999999E-2</v>
      </c>
      <c r="E429" s="6">
        <v>-0.71725000000000005</v>
      </c>
      <c r="F429" s="6">
        <v>-0.59157000000000004</v>
      </c>
      <c r="G429" s="6">
        <v>107.18</v>
      </c>
      <c r="H429" s="6">
        <v>28.010999999999999</v>
      </c>
      <c r="I429" s="6">
        <v>116.29</v>
      </c>
      <c r="J429" s="6">
        <v>334</v>
      </c>
      <c r="K429" s="6">
        <v>0.12331</v>
      </c>
      <c r="L429" s="6">
        <v>40.084000000000003</v>
      </c>
      <c r="M429" s="6">
        <v>6.2689999999999996E-2</v>
      </c>
      <c r="N429" s="6">
        <v>8.0192000000000002E-4</v>
      </c>
      <c r="O429" s="6" t="s">
        <v>17</v>
      </c>
    </row>
    <row r="430" spans="1:15" ht="17" x14ac:dyDescent="0.35">
      <c r="A430" s="9">
        <v>119.15</v>
      </c>
      <c r="B430" s="11">
        <v>24.048999999999999</v>
      </c>
      <c r="C430" s="6">
        <v>19.07</v>
      </c>
      <c r="D430" s="6">
        <v>5.2439E-2</v>
      </c>
      <c r="E430" s="6">
        <v>-0.71311000000000002</v>
      </c>
      <c r="F430" s="6">
        <v>-0.58699999999999997</v>
      </c>
      <c r="G430" s="6">
        <v>107.22</v>
      </c>
      <c r="H430" s="6">
        <v>28.024000000000001</v>
      </c>
      <c r="I430" s="6">
        <v>116.74</v>
      </c>
      <c r="J430" s="6">
        <v>333.17</v>
      </c>
      <c r="K430" s="6">
        <v>0.12411999999999999</v>
      </c>
      <c r="L430" s="6">
        <v>40</v>
      </c>
      <c r="M430" s="6">
        <v>6.2602000000000005E-2</v>
      </c>
      <c r="N430" s="6">
        <v>7.9540999999999998E-4</v>
      </c>
      <c r="O430" s="6" t="s">
        <v>17</v>
      </c>
    </row>
    <row r="431" spans="1:15" ht="17" x14ac:dyDescent="0.35">
      <c r="A431" s="9">
        <v>119.19</v>
      </c>
      <c r="B431" s="11">
        <v>24.105</v>
      </c>
      <c r="C431" s="6">
        <v>19.05</v>
      </c>
      <c r="D431" s="6">
        <v>5.2495E-2</v>
      </c>
      <c r="E431" s="6">
        <v>-0.70896999999999999</v>
      </c>
      <c r="F431" s="6">
        <v>-0.58243</v>
      </c>
      <c r="G431" s="6">
        <v>107.25</v>
      </c>
      <c r="H431" s="6">
        <v>28.038</v>
      </c>
      <c r="I431" s="6">
        <v>117.2</v>
      </c>
      <c r="J431" s="6">
        <v>332.33</v>
      </c>
      <c r="K431" s="6">
        <v>0.12493</v>
      </c>
      <c r="L431" s="6">
        <v>39.915999999999997</v>
      </c>
      <c r="M431" s="6">
        <v>6.2515000000000001E-2</v>
      </c>
      <c r="N431" s="6">
        <v>7.8892999999999997E-4</v>
      </c>
      <c r="O431" s="6" t="s">
        <v>17</v>
      </c>
    </row>
    <row r="432" spans="1:15" ht="17" x14ac:dyDescent="0.35">
      <c r="A432" s="9">
        <v>119.24</v>
      </c>
      <c r="B432" s="11">
        <v>24.161999999999999</v>
      </c>
      <c r="C432" s="6">
        <v>19.029</v>
      </c>
      <c r="D432" s="6">
        <v>5.2551E-2</v>
      </c>
      <c r="E432" s="6">
        <v>-0.70482999999999996</v>
      </c>
      <c r="F432" s="6">
        <v>-0.57786000000000004</v>
      </c>
      <c r="G432" s="6">
        <v>107.29</v>
      </c>
      <c r="H432" s="6">
        <v>28.052</v>
      </c>
      <c r="I432" s="6">
        <v>117.66</v>
      </c>
      <c r="J432" s="6">
        <v>331.49</v>
      </c>
      <c r="K432" s="6">
        <v>0.12576000000000001</v>
      </c>
      <c r="L432" s="6">
        <v>39.832000000000001</v>
      </c>
      <c r="M432" s="6">
        <v>6.2427999999999997E-2</v>
      </c>
      <c r="N432" s="6">
        <v>7.8248E-4</v>
      </c>
      <c r="O432" s="6" t="s">
        <v>17</v>
      </c>
    </row>
    <row r="433" spans="1:15" ht="17" x14ac:dyDescent="0.35">
      <c r="A433" s="9">
        <v>119.29</v>
      </c>
      <c r="B433" s="11">
        <v>24.218</v>
      </c>
      <c r="C433" s="6">
        <v>19.009</v>
      </c>
      <c r="D433" s="6">
        <v>5.2607000000000001E-2</v>
      </c>
      <c r="E433" s="6">
        <v>-0.70067999999999997</v>
      </c>
      <c r="F433" s="6">
        <v>-0.57328000000000001</v>
      </c>
      <c r="G433" s="6">
        <v>107.32</v>
      </c>
      <c r="H433" s="6">
        <v>28.065999999999999</v>
      </c>
      <c r="I433" s="6">
        <v>118.13</v>
      </c>
      <c r="J433" s="6">
        <v>330.65</v>
      </c>
      <c r="K433" s="6">
        <v>0.12658</v>
      </c>
      <c r="L433" s="6">
        <v>39.747999999999998</v>
      </c>
      <c r="M433" s="6">
        <v>6.2341000000000001E-2</v>
      </c>
      <c r="N433" s="6">
        <v>7.7603999999999998E-4</v>
      </c>
      <c r="O433" s="6" t="s">
        <v>17</v>
      </c>
    </row>
    <row r="434" spans="1:15" ht="17" x14ac:dyDescent="0.35">
      <c r="A434" s="9">
        <v>119.33</v>
      </c>
      <c r="B434" s="11">
        <v>24.274000000000001</v>
      </c>
      <c r="C434" s="6">
        <v>18.989000000000001</v>
      </c>
      <c r="D434" s="6">
        <v>5.2663000000000001E-2</v>
      </c>
      <c r="E434" s="6">
        <v>-0.69652999999999998</v>
      </c>
      <c r="F434" s="6">
        <v>-0.56869999999999998</v>
      </c>
      <c r="G434" s="6">
        <v>107.36</v>
      </c>
      <c r="H434" s="6">
        <v>28.08</v>
      </c>
      <c r="I434" s="6">
        <v>118.6</v>
      </c>
      <c r="J434" s="6">
        <v>329.81</v>
      </c>
      <c r="K434" s="6">
        <v>0.12742000000000001</v>
      </c>
      <c r="L434" s="6">
        <v>39.664000000000001</v>
      </c>
      <c r="M434" s="6">
        <v>6.2254999999999998E-2</v>
      </c>
      <c r="N434" s="6">
        <v>7.6962999999999999E-4</v>
      </c>
      <c r="O434" s="6" t="s">
        <v>17</v>
      </c>
    </row>
    <row r="435" spans="1:15" ht="17" x14ac:dyDescent="0.35">
      <c r="A435" s="9">
        <v>119.38</v>
      </c>
      <c r="B435" s="11">
        <v>24.33</v>
      </c>
      <c r="C435" s="6">
        <v>18.968</v>
      </c>
      <c r="D435" s="6">
        <v>5.2720000000000003E-2</v>
      </c>
      <c r="E435" s="6">
        <v>-0.69238</v>
      </c>
      <c r="F435" s="6">
        <v>-0.56411</v>
      </c>
      <c r="G435" s="6">
        <v>107.4</v>
      </c>
      <c r="H435" s="6">
        <v>28.094000000000001</v>
      </c>
      <c r="I435" s="6">
        <v>119.08</v>
      </c>
      <c r="J435" s="6">
        <v>328.97</v>
      </c>
      <c r="K435" s="6">
        <v>0.12826000000000001</v>
      </c>
      <c r="L435" s="6">
        <v>39.58</v>
      </c>
      <c r="M435" s="6">
        <v>6.2169000000000002E-2</v>
      </c>
      <c r="N435" s="6">
        <v>7.6323999999999999E-4</v>
      </c>
      <c r="O435" s="6" t="s">
        <v>17</v>
      </c>
    </row>
    <row r="436" spans="1:15" ht="17" x14ac:dyDescent="0.35">
      <c r="A436" s="9">
        <v>119.42</v>
      </c>
      <c r="B436" s="11">
        <v>24.387</v>
      </c>
      <c r="C436" s="6">
        <v>18.948</v>
      </c>
      <c r="D436" s="6">
        <v>5.2776999999999998E-2</v>
      </c>
      <c r="E436" s="6">
        <v>-0.68823000000000001</v>
      </c>
      <c r="F436" s="6">
        <v>-0.55952999999999997</v>
      </c>
      <c r="G436" s="6">
        <v>107.43</v>
      </c>
      <c r="H436" s="6">
        <v>28.109000000000002</v>
      </c>
      <c r="I436" s="6">
        <v>119.56</v>
      </c>
      <c r="J436" s="6">
        <v>328.13</v>
      </c>
      <c r="K436" s="6">
        <v>0.12909999999999999</v>
      </c>
      <c r="L436" s="6">
        <v>39.496000000000002</v>
      </c>
      <c r="M436" s="6">
        <v>6.2082999999999999E-2</v>
      </c>
      <c r="N436" s="6">
        <v>7.5686999999999998E-4</v>
      </c>
      <c r="O436" s="6" t="s">
        <v>17</v>
      </c>
    </row>
    <row r="437" spans="1:15" ht="17" x14ac:dyDescent="0.35">
      <c r="A437" s="9">
        <v>119.47</v>
      </c>
      <c r="B437" s="11">
        <v>24.443000000000001</v>
      </c>
      <c r="C437" s="6">
        <v>18.927</v>
      </c>
      <c r="D437" s="6">
        <v>5.2833999999999999E-2</v>
      </c>
      <c r="E437" s="6">
        <v>-0.68408000000000002</v>
      </c>
      <c r="F437" s="6">
        <v>-0.55493999999999999</v>
      </c>
      <c r="G437" s="6">
        <v>107.47</v>
      </c>
      <c r="H437" s="6">
        <v>28.123000000000001</v>
      </c>
      <c r="I437" s="6">
        <v>120.05</v>
      </c>
      <c r="J437" s="6">
        <v>327.29000000000002</v>
      </c>
      <c r="K437" s="6">
        <v>0.12995000000000001</v>
      </c>
      <c r="L437" s="6">
        <v>39.411999999999999</v>
      </c>
      <c r="M437" s="6">
        <v>6.1996999999999997E-2</v>
      </c>
      <c r="N437" s="6">
        <v>7.5051999999999996E-4</v>
      </c>
      <c r="O437" s="6" t="s">
        <v>17</v>
      </c>
    </row>
    <row r="438" spans="1:15" ht="17" x14ac:dyDescent="0.35">
      <c r="A438" s="9">
        <v>119.51</v>
      </c>
      <c r="B438" s="11">
        <v>24.498999999999999</v>
      </c>
      <c r="C438" s="6">
        <v>18.907</v>
      </c>
      <c r="D438" s="6">
        <v>5.2892000000000002E-2</v>
      </c>
      <c r="E438" s="6">
        <v>-0.67991999999999997</v>
      </c>
      <c r="F438" s="6">
        <v>-0.55034000000000005</v>
      </c>
      <c r="G438" s="6">
        <v>107.5</v>
      </c>
      <c r="H438" s="6">
        <v>28.138000000000002</v>
      </c>
      <c r="I438" s="6">
        <v>120.55</v>
      </c>
      <c r="J438" s="6">
        <v>326.44</v>
      </c>
      <c r="K438" s="6">
        <v>0.1308</v>
      </c>
      <c r="L438" s="6">
        <v>39.328000000000003</v>
      </c>
      <c r="M438" s="6">
        <v>6.1911000000000001E-2</v>
      </c>
      <c r="N438" s="6">
        <v>7.4419000000000004E-4</v>
      </c>
      <c r="O438" s="6" t="s">
        <v>17</v>
      </c>
    </row>
    <row r="439" spans="1:15" ht="17" x14ac:dyDescent="0.35">
      <c r="A439" s="9">
        <v>119.56</v>
      </c>
      <c r="B439" s="11">
        <v>24.556000000000001</v>
      </c>
      <c r="C439" s="6">
        <v>18.885999999999999</v>
      </c>
      <c r="D439" s="6">
        <v>5.2949000000000003E-2</v>
      </c>
      <c r="E439" s="6">
        <v>-0.67576999999999998</v>
      </c>
      <c r="F439" s="6">
        <v>-0.54574999999999996</v>
      </c>
      <c r="G439" s="6">
        <v>107.54</v>
      </c>
      <c r="H439" s="6">
        <v>28.152999999999999</v>
      </c>
      <c r="I439" s="6">
        <v>121.05</v>
      </c>
      <c r="J439" s="6">
        <v>325.60000000000002</v>
      </c>
      <c r="K439" s="6">
        <v>0.13166</v>
      </c>
      <c r="L439" s="6">
        <v>39.244</v>
      </c>
      <c r="M439" s="6">
        <v>6.1825999999999999E-2</v>
      </c>
      <c r="N439" s="6">
        <v>7.3788E-4</v>
      </c>
      <c r="O439" s="6" t="s">
        <v>17</v>
      </c>
    </row>
    <row r="440" spans="1:15" ht="17" x14ac:dyDescent="0.35">
      <c r="A440" s="9">
        <v>119.61</v>
      </c>
      <c r="B440" s="11">
        <v>24.611999999999998</v>
      </c>
      <c r="C440" s="6">
        <v>18.864999999999998</v>
      </c>
      <c r="D440" s="6">
        <v>5.3006999999999999E-2</v>
      </c>
      <c r="E440" s="6">
        <v>-0.67161000000000004</v>
      </c>
      <c r="F440" s="6">
        <v>-0.54113999999999995</v>
      </c>
      <c r="G440" s="6">
        <v>107.58</v>
      </c>
      <c r="H440" s="6">
        <v>28.167999999999999</v>
      </c>
      <c r="I440" s="6">
        <v>121.56</v>
      </c>
      <c r="J440" s="6">
        <v>324.76</v>
      </c>
      <c r="K440" s="6">
        <v>0.13253000000000001</v>
      </c>
      <c r="L440" s="6">
        <v>39.159999999999997</v>
      </c>
      <c r="M440" s="6">
        <v>6.1740999999999997E-2</v>
      </c>
      <c r="N440" s="6">
        <v>7.316E-4</v>
      </c>
      <c r="O440" s="6" t="s">
        <v>17</v>
      </c>
    </row>
    <row r="441" spans="1:15" ht="17" x14ac:dyDescent="0.35">
      <c r="A441" s="9">
        <v>119.65</v>
      </c>
      <c r="B441" s="11">
        <v>24.667999999999999</v>
      </c>
      <c r="C441" s="6">
        <v>18.844999999999999</v>
      </c>
      <c r="D441" s="6">
        <v>5.3065000000000001E-2</v>
      </c>
      <c r="E441" s="6">
        <v>-0.66744000000000003</v>
      </c>
      <c r="F441" s="6">
        <v>-0.53654000000000002</v>
      </c>
      <c r="G441" s="6">
        <v>107.61</v>
      </c>
      <c r="H441" s="6">
        <v>28.184000000000001</v>
      </c>
      <c r="I441" s="6">
        <v>122.07</v>
      </c>
      <c r="J441" s="6">
        <v>323.91000000000003</v>
      </c>
      <c r="K441" s="6">
        <v>0.13339999999999999</v>
      </c>
      <c r="L441" s="6">
        <v>39.076999999999998</v>
      </c>
      <c r="M441" s="6">
        <v>6.1656000000000002E-2</v>
      </c>
      <c r="N441" s="6">
        <v>7.2533999999999999E-4</v>
      </c>
      <c r="O441" s="6" t="s">
        <v>17</v>
      </c>
    </row>
    <row r="442" spans="1:15" ht="17" x14ac:dyDescent="0.35">
      <c r="A442" s="9">
        <v>119.7</v>
      </c>
      <c r="B442" s="11">
        <v>24.725000000000001</v>
      </c>
      <c r="C442" s="6">
        <v>18.824000000000002</v>
      </c>
      <c r="D442" s="6">
        <v>5.3123999999999998E-2</v>
      </c>
      <c r="E442" s="6">
        <v>-0.66327999999999998</v>
      </c>
      <c r="F442" s="6">
        <v>-0.53193000000000001</v>
      </c>
      <c r="G442" s="6">
        <v>107.65</v>
      </c>
      <c r="H442" s="6">
        <v>28.199000000000002</v>
      </c>
      <c r="I442" s="6">
        <v>122.59</v>
      </c>
      <c r="J442" s="6">
        <v>323.07</v>
      </c>
      <c r="K442" s="6">
        <v>0.13427</v>
      </c>
      <c r="L442" s="6">
        <v>38.993000000000002</v>
      </c>
      <c r="M442" s="6">
        <v>6.1572000000000002E-2</v>
      </c>
      <c r="N442" s="6">
        <v>7.1909999999999997E-4</v>
      </c>
      <c r="O442" s="6" t="s">
        <v>17</v>
      </c>
    </row>
    <row r="443" spans="1:15" ht="17" x14ac:dyDescent="0.35">
      <c r="A443" s="9">
        <v>119.74</v>
      </c>
      <c r="B443" s="11">
        <v>24.780999999999999</v>
      </c>
      <c r="C443" s="6">
        <v>18.803000000000001</v>
      </c>
      <c r="D443" s="6">
        <v>5.3183000000000001E-2</v>
      </c>
      <c r="E443" s="6">
        <v>-0.65910999999999997</v>
      </c>
      <c r="F443" s="6">
        <v>-0.52732000000000001</v>
      </c>
      <c r="G443" s="6">
        <v>107.68</v>
      </c>
      <c r="H443" s="6">
        <v>28.215</v>
      </c>
      <c r="I443" s="6">
        <v>123.11</v>
      </c>
      <c r="J443" s="6">
        <v>322.22000000000003</v>
      </c>
      <c r="K443" s="6">
        <v>0.13516</v>
      </c>
      <c r="L443" s="6">
        <v>38.908999999999999</v>
      </c>
      <c r="M443" s="6">
        <v>6.1488000000000001E-2</v>
      </c>
      <c r="N443" s="6">
        <v>7.1288000000000005E-4</v>
      </c>
      <c r="O443" s="6" t="s">
        <v>17</v>
      </c>
    </row>
    <row r="444" spans="1:15" ht="17" x14ac:dyDescent="0.35">
      <c r="A444" s="9">
        <v>119.79</v>
      </c>
      <c r="B444" s="11">
        <v>24.837</v>
      </c>
      <c r="C444" s="6">
        <v>18.782</v>
      </c>
      <c r="D444" s="6">
        <v>5.3240999999999997E-2</v>
      </c>
      <c r="E444" s="6">
        <v>-0.65493999999999997</v>
      </c>
      <c r="F444" s="6">
        <v>-0.52270000000000005</v>
      </c>
      <c r="G444" s="6">
        <v>107.72</v>
      </c>
      <c r="H444" s="6">
        <v>28.231000000000002</v>
      </c>
      <c r="I444" s="6">
        <v>123.64</v>
      </c>
      <c r="J444" s="6">
        <v>321.38</v>
      </c>
      <c r="K444" s="6">
        <v>0.13605</v>
      </c>
      <c r="L444" s="6">
        <v>38.825000000000003</v>
      </c>
      <c r="M444" s="6">
        <v>6.1404E-2</v>
      </c>
      <c r="N444" s="6">
        <v>7.0668E-4</v>
      </c>
      <c r="O444" s="6" t="s">
        <v>17</v>
      </c>
    </row>
    <row r="445" spans="1:15" ht="17" x14ac:dyDescent="0.35">
      <c r="A445" s="9">
        <v>119.83</v>
      </c>
      <c r="B445" s="11">
        <v>24.893000000000001</v>
      </c>
      <c r="C445" s="6">
        <v>18.760999999999999</v>
      </c>
      <c r="D445" s="6">
        <v>5.3301000000000001E-2</v>
      </c>
      <c r="E445" s="6">
        <v>-0.65076000000000001</v>
      </c>
      <c r="F445" s="6">
        <v>-0.51807999999999998</v>
      </c>
      <c r="G445" s="6">
        <v>107.76</v>
      </c>
      <c r="H445" s="6">
        <v>28.247</v>
      </c>
      <c r="I445" s="6">
        <v>124.18</v>
      </c>
      <c r="J445" s="6">
        <v>320.52999999999997</v>
      </c>
      <c r="K445" s="6">
        <v>0.13694000000000001</v>
      </c>
      <c r="L445" s="6">
        <v>38.741999999999997</v>
      </c>
      <c r="M445" s="6">
        <v>6.132E-2</v>
      </c>
      <c r="N445" s="6">
        <v>7.0049999999999995E-4</v>
      </c>
      <c r="O445" s="6" t="s">
        <v>17</v>
      </c>
    </row>
    <row r="446" spans="1:15" ht="17" x14ac:dyDescent="0.35">
      <c r="A446" s="9">
        <v>119.88</v>
      </c>
      <c r="B446" s="11">
        <v>24.95</v>
      </c>
      <c r="C446" s="6">
        <v>18.741</v>
      </c>
      <c r="D446" s="6">
        <v>5.3359999999999998E-2</v>
      </c>
      <c r="E446" s="6">
        <v>-0.64659</v>
      </c>
      <c r="F446" s="6">
        <v>-0.51344999999999996</v>
      </c>
      <c r="G446" s="6">
        <v>107.79</v>
      </c>
      <c r="H446" s="6">
        <v>28.263000000000002</v>
      </c>
      <c r="I446" s="6">
        <v>124.73</v>
      </c>
      <c r="J446" s="6">
        <v>319.68</v>
      </c>
      <c r="K446" s="6">
        <v>0.13783999999999999</v>
      </c>
      <c r="L446" s="6">
        <v>38.658000000000001</v>
      </c>
      <c r="M446" s="6">
        <v>6.1235999999999999E-2</v>
      </c>
      <c r="N446" s="6">
        <v>6.9435000000000005E-4</v>
      </c>
      <c r="O446" s="6" t="s">
        <v>17</v>
      </c>
    </row>
    <row r="447" spans="1:15" ht="17" x14ac:dyDescent="0.35">
      <c r="A447" s="9">
        <v>119.92</v>
      </c>
      <c r="B447" s="11">
        <v>25.006</v>
      </c>
      <c r="C447" s="6">
        <v>18.72</v>
      </c>
      <c r="D447" s="6">
        <v>5.3420000000000002E-2</v>
      </c>
      <c r="E447" s="6">
        <v>-0.64241000000000004</v>
      </c>
      <c r="F447" s="6">
        <v>-0.50883</v>
      </c>
      <c r="G447" s="6">
        <v>107.83</v>
      </c>
      <c r="H447" s="6">
        <v>28.28</v>
      </c>
      <c r="I447" s="6">
        <v>125.28</v>
      </c>
      <c r="J447" s="6">
        <v>318.83999999999997</v>
      </c>
      <c r="K447" s="6">
        <v>0.13875000000000001</v>
      </c>
      <c r="L447" s="6">
        <v>38.573999999999998</v>
      </c>
      <c r="M447" s="6">
        <v>6.1152999999999999E-2</v>
      </c>
      <c r="N447" s="6">
        <v>6.8820999999999997E-4</v>
      </c>
      <c r="O447" s="6" t="s">
        <v>17</v>
      </c>
    </row>
    <row r="448" spans="1:15" ht="17" x14ac:dyDescent="0.35">
      <c r="A448" s="9">
        <v>119.97</v>
      </c>
      <c r="B448" s="11">
        <v>25.062000000000001</v>
      </c>
      <c r="C448" s="6">
        <v>18.699000000000002</v>
      </c>
      <c r="D448" s="6">
        <v>5.348E-2</v>
      </c>
      <c r="E448" s="6">
        <v>-0.63822000000000001</v>
      </c>
      <c r="F448" s="6">
        <v>-0.50419000000000003</v>
      </c>
      <c r="G448" s="6">
        <v>107.86</v>
      </c>
      <c r="H448" s="6">
        <v>28.295999999999999</v>
      </c>
      <c r="I448" s="6">
        <v>125.84</v>
      </c>
      <c r="J448" s="6">
        <v>317.99</v>
      </c>
      <c r="K448" s="6">
        <v>0.13966000000000001</v>
      </c>
      <c r="L448" s="6">
        <v>38.49</v>
      </c>
      <c r="M448" s="6">
        <v>6.1069999999999999E-2</v>
      </c>
      <c r="N448" s="6">
        <v>6.8210000000000005E-4</v>
      </c>
      <c r="O448" s="6" t="s">
        <v>17</v>
      </c>
    </row>
    <row r="449" spans="1:15" ht="17" x14ac:dyDescent="0.35">
      <c r="A449" s="9">
        <v>120.01</v>
      </c>
      <c r="B449" s="11">
        <v>25.119</v>
      </c>
      <c r="C449" s="6">
        <v>18.678000000000001</v>
      </c>
      <c r="D449" s="6">
        <v>5.3539999999999997E-2</v>
      </c>
      <c r="E449" s="6">
        <v>-0.63404000000000005</v>
      </c>
      <c r="F449" s="6">
        <v>-0.49954999999999999</v>
      </c>
      <c r="G449" s="6">
        <v>107.9</v>
      </c>
      <c r="H449" s="6">
        <v>28.312999999999999</v>
      </c>
      <c r="I449" s="6">
        <v>126.4</v>
      </c>
      <c r="J449" s="6">
        <v>317.14</v>
      </c>
      <c r="K449" s="6">
        <v>0.14058000000000001</v>
      </c>
      <c r="L449" s="6">
        <v>38.406999999999996</v>
      </c>
      <c r="M449" s="6">
        <v>6.0987E-2</v>
      </c>
      <c r="N449" s="6">
        <v>6.7601E-4</v>
      </c>
      <c r="O449" s="6" t="s">
        <v>17</v>
      </c>
    </row>
    <row r="450" spans="1:15" ht="17" x14ac:dyDescent="0.35">
      <c r="A450" s="9">
        <v>120.05</v>
      </c>
      <c r="B450" s="11">
        <v>25.175000000000001</v>
      </c>
      <c r="C450" s="6">
        <v>18.655999999999999</v>
      </c>
      <c r="D450" s="6">
        <v>5.3601000000000003E-2</v>
      </c>
      <c r="E450" s="6">
        <v>-0.62985000000000002</v>
      </c>
      <c r="F450" s="6">
        <v>-0.49491000000000002</v>
      </c>
      <c r="G450" s="6">
        <v>107.94</v>
      </c>
      <c r="H450" s="6">
        <v>28.33</v>
      </c>
      <c r="I450" s="6">
        <v>126.97</v>
      </c>
      <c r="J450" s="6">
        <v>316.29000000000002</v>
      </c>
      <c r="K450" s="6">
        <v>0.14149999999999999</v>
      </c>
      <c r="L450" s="6">
        <v>38.323</v>
      </c>
      <c r="M450" s="6">
        <v>6.0905000000000001E-2</v>
      </c>
      <c r="N450" s="6">
        <v>6.6994000000000005E-4</v>
      </c>
      <c r="O450" s="6" t="s">
        <v>17</v>
      </c>
    </row>
    <row r="451" spans="1:15" ht="17" x14ac:dyDescent="0.35">
      <c r="A451" s="9">
        <v>120.1</v>
      </c>
      <c r="B451" s="11">
        <v>25.231000000000002</v>
      </c>
      <c r="C451" s="6">
        <v>18.635000000000002</v>
      </c>
      <c r="D451" s="6">
        <v>5.3662000000000001E-2</v>
      </c>
      <c r="E451" s="6">
        <v>-0.62565000000000004</v>
      </c>
      <c r="F451" s="6">
        <v>-0.49025999999999997</v>
      </c>
      <c r="G451" s="6">
        <v>107.97</v>
      </c>
      <c r="H451" s="6">
        <v>28.347999999999999</v>
      </c>
      <c r="I451" s="6">
        <v>127.55</v>
      </c>
      <c r="J451" s="6">
        <v>315.44</v>
      </c>
      <c r="K451" s="6">
        <v>0.14243</v>
      </c>
      <c r="L451" s="6">
        <v>38.238999999999997</v>
      </c>
      <c r="M451" s="6">
        <v>6.0823000000000002E-2</v>
      </c>
      <c r="N451" s="6">
        <v>6.6388999999999999E-4</v>
      </c>
      <c r="O451" s="6" t="s">
        <v>17</v>
      </c>
    </row>
    <row r="452" spans="1:15" ht="17" x14ac:dyDescent="0.35">
      <c r="A452" s="9">
        <v>120.14</v>
      </c>
      <c r="B452" s="11">
        <v>25.286999999999999</v>
      </c>
      <c r="C452" s="6">
        <v>18.614000000000001</v>
      </c>
      <c r="D452" s="6">
        <v>5.3723E-2</v>
      </c>
      <c r="E452" s="6">
        <v>-0.62146000000000001</v>
      </c>
      <c r="F452" s="6">
        <v>-0.48560999999999999</v>
      </c>
      <c r="G452" s="6">
        <v>108.01</v>
      </c>
      <c r="H452" s="6">
        <v>28.364999999999998</v>
      </c>
      <c r="I452" s="6">
        <v>128.13999999999999</v>
      </c>
      <c r="J452" s="6">
        <v>314.58</v>
      </c>
      <c r="K452" s="6">
        <v>0.14337</v>
      </c>
      <c r="L452" s="6">
        <v>38.155000000000001</v>
      </c>
      <c r="M452" s="6">
        <v>6.0741000000000003E-2</v>
      </c>
      <c r="N452" s="6">
        <v>6.5786000000000002E-4</v>
      </c>
      <c r="O452" s="6" t="s">
        <v>17</v>
      </c>
    </row>
    <row r="453" spans="1:15" ht="17" x14ac:dyDescent="0.35">
      <c r="A453" s="9">
        <v>120.19</v>
      </c>
      <c r="B453" s="11">
        <v>25.344000000000001</v>
      </c>
      <c r="C453" s="6">
        <v>18.593</v>
      </c>
      <c r="D453" s="6">
        <v>5.3783999999999998E-2</v>
      </c>
      <c r="E453" s="6">
        <v>-0.61726000000000003</v>
      </c>
      <c r="F453" s="6">
        <v>-0.48094999999999999</v>
      </c>
      <c r="G453" s="6">
        <v>108.04</v>
      </c>
      <c r="H453" s="6">
        <v>28.382999999999999</v>
      </c>
      <c r="I453" s="6">
        <v>128.74</v>
      </c>
      <c r="J453" s="6">
        <v>313.73</v>
      </c>
      <c r="K453" s="6">
        <v>0.14430999999999999</v>
      </c>
      <c r="L453" s="6">
        <v>38.072000000000003</v>
      </c>
      <c r="M453" s="6">
        <v>6.0658999999999998E-2</v>
      </c>
      <c r="N453" s="6">
        <v>6.5185000000000004E-4</v>
      </c>
      <c r="O453" s="6" t="s">
        <v>17</v>
      </c>
    </row>
    <row r="454" spans="1:15" ht="17" x14ac:dyDescent="0.35">
      <c r="A454" s="9">
        <v>120.23</v>
      </c>
      <c r="B454" s="11">
        <v>25.4</v>
      </c>
      <c r="C454" s="6">
        <v>18.571999999999999</v>
      </c>
      <c r="D454" s="6">
        <v>5.3845999999999998E-2</v>
      </c>
      <c r="E454" s="6">
        <v>-0.61306000000000005</v>
      </c>
      <c r="F454" s="6">
        <v>-0.47628999999999999</v>
      </c>
      <c r="G454" s="6">
        <v>108.08</v>
      </c>
      <c r="H454" s="6">
        <v>28.401</v>
      </c>
      <c r="I454" s="6">
        <v>129.34</v>
      </c>
      <c r="J454" s="6">
        <v>312.88</v>
      </c>
      <c r="K454" s="6">
        <v>0.14526</v>
      </c>
      <c r="L454" s="6">
        <v>37.988</v>
      </c>
      <c r="M454" s="6">
        <v>6.0578E-2</v>
      </c>
      <c r="N454" s="6">
        <v>6.4586999999999999E-4</v>
      </c>
      <c r="O454" s="6" t="s">
        <v>17</v>
      </c>
    </row>
    <row r="455" spans="1:15" ht="17" x14ac:dyDescent="0.35">
      <c r="A455" s="9">
        <v>120.28</v>
      </c>
      <c r="B455" s="11">
        <v>25.456</v>
      </c>
      <c r="C455" s="6">
        <v>18.55</v>
      </c>
      <c r="D455" s="6">
        <v>5.3907999999999998E-2</v>
      </c>
      <c r="E455" s="6">
        <v>-0.60885</v>
      </c>
      <c r="F455" s="6">
        <v>-0.47161999999999998</v>
      </c>
      <c r="G455" s="6">
        <v>108.12</v>
      </c>
      <c r="H455" s="6">
        <v>28.419</v>
      </c>
      <c r="I455" s="6">
        <v>129.94999999999999</v>
      </c>
      <c r="J455" s="6">
        <v>312.02</v>
      </c>
      <c r="K455" s="6">
        <v>0.14621999999999999</v>
      </c>
      <c r="L455" s="6">
        <v>37.904000000000003</v>
      </c>
      <c r="M455" s="6">
        <v>6.0497000000000002E-2</v>
      </c>
      <c r="N455" s="6">
        <v>6.399E-4</v>
      </c>
      <c r="O455" s="6" t="s">
        <v>17</v>
      </c>
    </row>
    <row r="456" spans="1:15" ht="17" x14ac:dyDescent="0.35">
      <c r="A456" s="9">
        <v>120.32</v>
      </c>
      <c r="B456" s="11">
        <v>25.513000000000002</v>
      </c>
      <c r="C456" s="6">
        <v>18.529</v>
      </c>
      <c r="D456" s="6">
        <v>5.3969999999999997E-2</v>
      </c>
      <c r="E456" s="6">
        <v>-0.60463999999999996</v>
      </c>
      <c r="F456" s="6">
        <v>-0.46694000000000002</v>
      </c>
      <c r="G456" s="6">
        <v>108.15</v>
      </c>
      <c r="H456" s="6">
        <v>28.437000000000001</v>
      </c>
      <c r="I456" s="6">
        <v>130.57</v>
      </c>
      <c r="J456" s="6">
        <v>311.17</v>
      </c>
      <c r="K456" s="6">
        <v>0.14718999999999999</v>
      </c>
      <c r="L456" s="6">
        <v>37.82</v>
      </c>
      <c r="M456" s="6">
        <v>6.0415999999999997E-2</v>
      </c>
      <c r="N456" s="6">
        <v>6.3396000000000004E-4</v>
      </c>
      <c r="O456" s="6" t="s">
        <v>17</v>
      </c>
    </row>
    <row r="457" spans="1:15" ht="17" x14ac:dyDescent="0.35">
      <c r="A457" s="9">
        <v>120.36</v>
      </c>
      <c r="B457" s="11">
        <v>25.568999999999999</v>
      </c>
      <c r="C457" s="6">
        <v>18.507000000000001</v>
      </c>
      <c r="D457" s="6">
        <v>5.4032999999999998E-2</v>
      </c>
      <c r="E457" s="6">
        <v>-0.60041999999999995</v>
      </c>
      <c r="F457" s="6">
        <v>-0.46227000000000001</v>
      </c>
      <c r="G457" s="6">
        <v>108.19</v>
      </c>
      <c r="H457" s="6">
        <v>28.456</v>
      </c>
      <c r="I457" s="6">
        <v>131.19</v>
      </c>
      <c r="J457" s="6">
        <v>310.31</v>
      </c>
      <c r="K457" s="6">
        <v>0.14815999999999999</v>
      </c>
      <c r="L457" s="6">
        <v>37.735999999999997</v>
      </c>
      <c r="M457" s="6">
        <v>6.0336000000000001E-2</v>
      </c>
      <c r="N457" s="6">
        <v>6.2803999999999996E-4</v>
      </c>
      <c r="O457" s="6" t="s">
        <v>17</v>
      </c>
    </row>
    <row r="458" spans="1:15" ht="17" x14ac:dyDescent="0.35">
      <c r="A458" s="9">
        <v>120.41</v>
      </c>
      <c r="B458" s="11">
        <v>25.625</v>
      </c>
      <c r="C458" s="6">
        <v>18.486000000000001</v>
      </c>
      <c r="D458" s="6">
        <v>5.4095999999999998E-2</v>
      </c>
      <c r="E458" s="6">
        <v>-0.59619999999999995</v>
      </c>
      <c r="F458" s="6">
        <v>-0.45757999999999999</v>
      </c>
      <c r="G458" s="6">
        <v>108.23</v>
      </c>
      <c r="H458" s="6">
        <v>28.475000000000001</v>
      </c>
      <c r="I458" s="6">
        <v>131.83000000000001</v>
      </c>
      <c r="J458" s="6">
        <v>309.45</v>
      </c>
      <c r="K458" s="6">
        <v>0.14913000000000001</v>
      </c>
      <c r="L458" s="6">
        <v>37.652999999999999</v>
      </c>
      <c r="M458" s="6">
        <v>6.0255999999999997E-2</v>
      </c>
      <c r="N458" s="6">
        <v>6.2213999999999998E-4</v>
      </c>
      <c r="O458" s="6" t="s">
        <v>17</v>
      </c>
    </row>
    <row r="459" spans="1:15" ht="17" x14ac:dyDescent="0.35">
      <c r="A459" s="9">
        <v>120.45</v>
      </c>
      <c r="B459" s="11">
        <v>25.681000000000001</v>
      </c>
      <c r="C459" s="6">
        <v>18.463999999999999</v>
      </c>
      <c r="D459" s="6">
        <v>5.4158999999999999E-2</v>
      </c>
      <c r="E459" s="6">
        <v>-0.59197999999999995</v>
      </c>
      <c r="F459" s="6">
        <v>-0.45289000000000001</v>
      </c>
      <c r="G459" s="6">
        <v>108.26</v>
      </c>
      <c r="H459" s="6">
        <v>28.494</v>
      </c>
      <c r="I459" s="6">
        <v>132.47</v>
      </c>
      <c r="J459" s="6">
        <v>308.60000000000002</v>
      </c>
      <c r="K459" s="6">
        <v>0.15012</v>
      </c>
      <c r="L459" s="6">
        <v>37.569000000000003</v>
      </c>
      <c r="M459" s="6">
        <v>6.0176E-2</v>
      </c>
      <c r="N459" s="6">
        <v>6.1625000000000004E-4</v>
      </c>
      <c r="O459" s="6" t="s">
        <v>17</v>
      </c>
    </row>
    <row r="460" spans="1:15" ht="17" x14ac:dyDescent="0.35">
      <c r="A460" s="9">
        <v>120.5</v>
      </c>
      <c r="B460" s="11">
        <v>25.738</v>
      </c>
      <c r="C460" s="6">
        <v>18.443000000000001</v>
      </c>
      <c r="D460" s="6">
        <v>5.4221999999999999E-2</v>
      </c>
      <c r="E460" s="6">
        <v>-0.58774999999999999</v>
      </c>
      <c r="F460" s="6">
        <v>-0.44818999999999998</v>
      </c>
      <c r="G460" s="6">
        <v>108.3</v>
      </c>
      <c r="H460" s="6">
        <v>28.513000000000002</v>
      </c>
      <c r="I460" s="6">
        <v>133.12</v>
      </c>
      <c r="J460" s="6">
        <v>307.74</v>
      </c>
      <c r="K460" s="6">
        <v>0.15110999999999999</v>
      </c>
      <c r="L460" s="6">
        <v>37.484999999999999</v>
      </c>
      <c r="M460" s="6">
        <v>6.0095999999999997E-2</v>
      </c>
      <c r="N460" s="6">
        <v>6.1039000000000004E-4</v>
      </c>
      <c r="O460" s="6" t="s">
        <v>17</v>
      </c>
    </row>
    <row r="461" spans="1:15" ht="17" x14ac:dyDescent="0.35">
      <c r="A461" s="9">
        <v>120.54</v>
      </c>
      <c r="B461" s="11">
        <v>25.794</v>
      </c>
      <c r="C461" s="6">
        <v>18.420999999999999</v>
      </c>
      <c r="D461" s="6">
        <v>5.4286000000000001E-2</v>
      </c>
      <c r="E461" s="6">
        <v>-0.58352000000000004</v>
      </c>
      <c r="F461" s="6">
        <v>-0.44349</v>
      </c>
      <c r="G461" s="6">
        <v>108.34</v>
      </c>
      <c r="H461" s="6">
        <v>28.532</v>
      </c>
      <c r="I461" s="6">
        <v>133.79</v>
      </c>
      <c r="J461" s="6">
        <v>306.88</v>
      </c>
      <c r="K461" s="6">
        <v>0.15211</v>
      </c>
      <c r="L461" s="6">
        <v>37.401000000000003</v>
      </c>
      <c r="M461" s="6">
        <v>6.0017000000000001E-2</v>
      </c>
      <c r="N461" s="6">
        <v>6.0455999999999997E-4</v>
      </c>
      <c r="O461" s="6" t="s">
        <v>17</v>
      </c>
    </row>
    <row r="462" spans="1:15" ht="17" x14ac:dyDescent="0.35">
      <c r="A462" s="9">
        <v>120.58</v>
      </c>
      <c r="B462" s="11">
        <v>25.85</v>
      </c>
      <c r="C462" s="6">
        <v>18.399000000000001</v>
      </c>
      <c r="D462" s="6">
        <v>5.4350999999999997E-2</v>
      </c>
      <c r="E462" s="6">
        <v>-0.57928000000000002</v>
      </c>
      <c r="F462" s="6">
        <v>-0.43878</v>
      </c>
      <c r="G462" s="6">
        <v>108.37</v>
      </c>
      <c r="H462" s="6">
        <v>28.552</v>
      </c>
      <c r="I462" s="6">
        <v>134.46</v>
      </c>
      <c r="J462" s="6">
        <v>306.02</v>
      </c>
      <c r="K462" s="6">
        <v>0.15312000000000001</v>
      </c>
      <c r="L462" s="6">
        <v>37.317</v>
      </c>
      <c r="M462" s="6">
        <v>5.9937999999999998E-2</v>
      </c>
      <c r="N462" s="6">
        <v>5.9873999999999995E-4</v>
      </c>
      <c r="O462" s="6" t="s">
        <v>17</v>
      </c>
    </row>
    <row r="463" spans="1:15" ht="17" x14ac:dyDescent="0.35">
      <c r="A463" s="9">
        <v>120.63</v>
      </c>
      <c r="B463" s="11">
        <v>25.907</v>
      </c>
      <c r="C463" s="6">
        <v>18.376999999999999</v>
      </c>
      <c r="D463" s="6">
        <v>5.4414999999999998E-2</v>
      </c>
      <c r="E463" s="6">
        <v>-0.57504</v>
      </c>
      <c r="F463" s="6">
        <v>-0.43407000000000001</v>
      </c>
      <c r="G463" s="6">
        <v>108.41</v>
      </c>
      <c r="H463" s="6">
        <v>28.571999999999999</v>
      </c>
      <c r="I463" s="6">
        <v>135.13999999999999</v>
      </c>
      <c r="J463" s="6">
        <v>305.14999999999998</v>
      </c>
      <c r="K463" s="6">
        <v>0.15412999999999999</v>
      </c>
      <c r="L463" s="6">
        <v>37.232999999999997</v>
      </c>
      <c r="M463" s="6">
        <v>5.9859000000000002E-2</v>
      </c>
      <c r="N463" s="6">
        <v>5.9294000000000003E-4</v>
      </c>
      <c r="O463" s="6" t="s">
        <v>17</v>
      </c>
    </row>
    <row r="464" spans="1:15" ht="17" x14ac:dyDescent="0.35">
      <c r="A464" s="9">
        <v>120.67</v>
      </c>
      <c r="B464" s="11">
        <v>25.963000000000001</v>
      </c>
      <c r="C464" s="6">
        <v>18.355</v>
      </c>
      <c r="D464" s="6">
        <v>5.4480000000000001E-2</v>
      </c>
      <c r="E464" s="6">
        <v>-0.57079999999999997</v>
      </c>
      <c r="F464" s="6">
        <v>-0.42935000000000001</v>
      </c>
      <c r="G464" s="6">
        <v>108.45</v>
      </c>
      <c r="H464" s="6">
        <v>28.593</v>
      </c>
      <c r="I464" s="6">
        <v>135.83000000000001</v>
      </c>
      <c r="J464" s="6">
        <v>304.29000000000002</v>
      </c>
      <c r="K464" s="6">
        <v>0.15515000000000001</v>
      </c>
      <c r="L464" s="6">
        <v>37.149000000000001</v>
      </c>
      <c r="M464" s="6">
        <v>5.9781000000000001E-2</v>
      </c>
      <c r="N464" s="6">
        <v>5.8715999999999998E-4</v>
      </c>
      <c r="O464" s="6" t="s">
        <v>17</v>
      </c>
    </row>
    <row r="465" spans="1:15" ht="17" x14ac:dyDescent="0.35">
      <c r="A465" s="9">
        <v>120.71</v>
      </c>
      <c r="B465" s="11">
        <v>26.018999999999998</v>
      </c>
      <c r="C465" s="6">
        <v>18.332999999999998</v>
      </c>
      <c r="D465" s="6">
        <v>5.4545000000000003E-2</v>
      </c>
      <c r="E465" s="6">
        <v>-0.56654000000000004</v>
      </c>
      <c r="F465" s="6">
        <v>-0.42462</v>
      </c>
      <c r="G465" s="6">
        <v>108.48</v>
      </c>
      <c r="H465" s="6">
        <v>28.613</v>
      </c>
      <c r="I465" s="6">
        <v>136.52000000000001</v>
      </c>
      <c r="J465" s="6">
        <v>303.43</v>
      </c>
      <c r="K465" s="6">
        <v>0.15618000000000001</v>
      </c>
      <c r="L465" s="6">
        <v>37.064999999999998</v>
      </c>
      <c r="M465" s="6">
        <v>5.9702999999999999E-2</v>
      </c>
      <c r="N465" s="6">
        <v>5.8140999999999998E-4</v>
      </c>
      <c r="O465" s="6" t="s">
        <v>17</v>
      </c>
    </row>
    <row r="466" spans="1:15" ht="17" x14ac:dyDescent="0.35">
      <c r="A466" s="9">
        <v>120.76</v>
      </c>
      <c r="B466" s="11">
        <v>26.076000000000001</v>
      </c>
      <c r="C466" s="6">
        <v>18.311</v>
      </c>
      <c r="D466" s="6">
        <v>5.4611E-2</v>
      </c>
      <c r="E466" s="6">
        <v>-0.56228999999999996</v>
      </c>
      <c r="F466" s="6">
        <v>-0.41988999999999999</v>
      </c>
      <c r="G466" s="6">
        <v>108.52</v>
      </c>
      <c r="H466" s="6">
        <v>28.634</v>
      </c>
      <c r="I466" s="6">
        <v>137.22999999999999</v>
      </c>
      <c r="J466" s="6">
        <v>302.56</v>
      </c>
      <c r="K466" s="6">
        <v>0.15720999999999999</v>
      </c>
      <c r="L466" s="6">
        <v>36.981000000000002</v>
      </c>
      <c r="M466" s="6">
        <v>5.9624999999999997E-2</v>
      </c>
      <c r="N466" s="6">
        <v>5.7567000000000002E-4</v>
      </c>
      <c r="O466" s="6" t="s">
        <v>17</v>
      </c>
    </row>
    <row r="467" spans="1:15" ht="17" x14ac:dyDescent="0.35">
      <c r="A467" s="9">
        <v>120.8</v>
      </c>
      <c r="B467" s="11">
        <v>26.132000000000001</v>
      </c>
      <c r="C467" s="6">
        <v>18.289000000000001</v>
      </c>
      <c r="D467" s="6">
        <v>5.4677000000000003E-2</v>
      </c>
      <c r="E467" s="6">
        <v>-0.55803000000000003</v>
      </c>
      <c r="F467" s="6">
        <v>-0.41515000000000002</v>
      </c>
      <c r="G467" s="6">
        <v>108.56</v>
      </c>
      <c r="H467" s="6">
        <v>28.655000000000001</v>
      </c>
      <c r="I467" s="6">
        <v>137.94999999999999</v>
      </c>
      <c r="J467" s="6">
        <v>301.69</v>
      </c>
      <c r="K467" s="6">
        <v>0.15826000000000001</v>
      </c>
      <c r="L467" s="6">
        <v>36.896999999999998</v>
      </c>
      <c r="M467" s="6">
        <v>5.9547999999999997E-2</v>
      </c>
      <c r="N467" s="6">
        <v>5.6996E-4</v>
      </c>
      <c r="O467" s="6" t="s">
        <v>17</v>
      </c>
    </row>
    <row r="468" spans="1:15" ht="17" x14ac:dyDescent="0.35">
      <c r="A468" s="9">
        <v>120.84</v>
      </c>
      <c r="B468" s="11">
        <v>26.187999999999999</v>
      </c>
      <c r="C468" s="6">
        <v>18.266999999999999</v>
      </c>
      <c r="D468" s="6">
        <v>5.4743E-2</v>
      </c>
      <c r="E468" s="6">
        <v>-0.55376000000000003</v>
      </c>
      <c r="F468" s="6">
        <v>-0.41039999999999999</v>
      </c>
      <c r="G468" s="6">
        <v>108.59</v>
      </c>
      <c r="H468" s="6">
        <v>28.675999999999998</v>
      </c>
      <c r="I468" s="6">
        <v>138.68</v>
      </c>
      <c r="J468" s="6">
        <v>300.83</v>
      </c>
      <c r="K468" s="6">
        <v>0.15931000000000001</v>
      </c>
      <c r="L468" s="6">
        <v>36.813000000000002</v>
      </c>
      <c r="M468" s="6">
        <v>5.9471000000000003E-2</v>
      </c>
      <c r="N468" s="6">
        <v>5.6426999999999996E-4</v>
      </c>
      <c r="O468" s="6" t="s">
        <v>17</v>
      </c>
    </row>
    <row r="469" spans="1:15" ht="17" x14ac:dyDescent="0.35">
      <c r="A469" s="9">
        <v>120.89</v>
      </c>
      <c r="B469" s="11">
        <v>26.244</v>
      </c>
      <c r="C469" s="6">
        <v>18.245000000000001</v>
      </c>
      <c r="D469" s="6">
        <v>5.4808999999999997E-2</v>
      </c>
      <c r="E469" s="6">
        <v>-0.54949000000000003</v>
      </c>
      <c r="F469" s="6">
        <v>-0.40565000000000001</v>
      </c>
      <c r="G469" s="6">
        <v>108.63</v>
      </c>
      <c r="H469" s="6">
        <v>28.698</v>
      </c>
      <c r="I469" s="6">
        <v>139.41999999999999</v>
      </c>
      <c r="J469" s="6">
        <v>299.95999999999998</v>
      </c>
      <c r="K469" s="6">
        <v>0.16037000000000001</v>
      </c>
      <c r="L469" s="6">
        <v>36.728999999999999</v>
      </c>
      <c r="M469" s="6">
        <v>5.9394000000000002E-2</v>
      </c>
      <c r="N469" s="6">
        <v>5.5858999999999998E-4</v>
      </c>
      <c r="O469" s="6" t="s">
        <v>17</v>
      </c>
    </row>
    <row r="470" spans="1:15" ht="17" x14ac:dyDescent="0.35">
      <c r="A470" s="9">
        <v>120.93</v>
      </c>
      <c r="B470" s="11">
        <v>26.300999999999998</v>
      </c>
      <c r="C470" s="6">
        <v>18.222999999999999</v>
      </c>
      <c r="D470" s="6">
        <v>5.4876000000000001E-2</v>
      </c>
      <c r="E470" s="6">
        <v>-0.54522000000000004</v>
      </c>
      <c r="F470" s="6">
        <v>-0.40089000000000002</v>
      </c>
      <c r="G470" s="6">
        <v>108.67</v>
      </c>
      <c r="H470" s="6">
        <v>28.72</v>
      </c>
      <c r="I470" s="6">
        <v>140.16999999999999</v>
      </c>
      <c r="J470" s="6">
        <v>299.08999999999997</v>
      </c>
      <c r="K470" s="6">
        <v>0.16144</v>
      </c>
      <c r="L470" s="6">
        <v>36.645000000000003</v>
      </c>
      <c r="M470" s="6">
        <v>5.9318000000000003E-2</v>
      </c>
      <c r="N470" s="6">
        <v>5.5294000000000003E-4</v>
      </c>
      <c r="O470" s="6" t="s">
        <v>17</v>
      </c>
    </row>
    <row r="471" spans="1:15" ht="17" x14ac:dyDescent="0.35">
      <c r="A471" s="9">
        <v>120.97</v>
      </c>
      <c r="B471" s="11">
        <v>26.356999999999999</v>
      </c>
      <c r="C471" s="6">
        <v>18.2</v>
      </c>
      <c r="D471" s="6">
        <v>5.4944E-2</v>
      </c>
      <c r="E471" s="6">
        <v>-0.54093000000000002</v>
      </c>
      <c r="F471" s="6">
        <v>-0.39612000000000003</v>
      </c>
      <c r="G471" s="6">
        <v>108.7</v>
      </c>
      <c r="H471" s="6">
        <v>28.742000000000001</v>
      </c>
      <c r="I471" s="6">
        <v>140.94</v>
      </c>
      <c r="J471" s="6">
        <v>298.20999999999998</v>
      </c>
      <c r="K471" s="6">
        <v>0.16250999999999999</v>
      </c>
      <c r="L471" s="6">
        <v>36.561</v>
      </c>
      <c r="M471" s="6">
        <v>5.9242000000000003E-2</v>
      </c>
      <c r="N471" s="6">
        <v>5.4730999999999996E-4</v>
      </c>
      <c r="O471" s="6" t="s">
        <v>17</v>
      </c>
    </row>
    <row r="472" spans="1:15" ht="17" x14ac:dyDescent="0.35">
      <c r="A472" s="9">
        <v>121.02</v>
      </c>
      <c r="B472" s="11">
        <v>26.413</v>
      </c>
      <c r="C472" s="6">
        <v>18.178000000000001</v>
      </c>
      <c r="D472" s="6">
        <v>5.5010999999999997E-2</v>
      </c>
      <c r="E472" s="6">
        <v>-0.53664999999999996</v>
      </c>
      <c r="F472" s="6">
        <v>-0.39134000000000002</v>
      </c>
      <c r="G472" s="6">
        <v>108.74</v>
      </c>
      <c r="H472" s="6">
        <v>28.763999999999999</v>
      </c>
      <c r="I472" s="6">
        <v>141.71</v>
      </c>
      <c r="J472" s="6">
        <v>297.33999999999997</v>
      </c>
      <c r="K472" s="6">
        <v>0.1636</v>
      </c>
      <c r="L472" s="6">
        <v>36.475999999999999</v>
      </c>
      <c r="M472" s="6">
        <v>5.9166000000000003E-2</v>
      </c>
      <c r="N472" s="6">
        <v>5.4169999999999999E-4</v>
      </c>
      <c r="O472" s="6" t="s">
        <v>17</v>
      </c>
    </row>
    <row r="473" spans="1:15" ht="17" x14ac:dyDescent="0.35">
      <c r="A473" s="9">
        <v>121.06</v>
      </c>
      <c r="B473" s="11">
        <v>26.47</v>
      </c>
      <c r="C473" s="6">
        <v>18.155999999999999</v>
      </c>
      <c r="D473" s="6">
        <v>5.5079000000000003E-2</v>
      </c>
      <c r="E473" s="6">
        <v>-0.53234999999999999</v>
      </c>
      <c r="F473" s="6">
        <v>-0.38656000000000001</v>
      </c>
      <c r="G473" s="6">
        <v>108.78</v>
      </c>
      <c r="H473" s="6">
        <v>28.786999999999999</v>
      </c>
      <c r="I473" s="6">
        <v>142.49</v>
      </c>
      <c r="J473" s="6">
        <v>296.47000000000003</v>
      </c>
      <c r="K473" s="6">
        <v>0.16469</v>
      </c>
      <c r="L473" s="6">
        <v>36.392000000000003</v>
      </c>
      <c r="M473" s="6">
        <v>5.9090999999999998E-2</v>
      </c>
      <c r="N473" s="6">
        <v>5.3611000000000002E-4</v>
      </c>
      <c r="O473" s="6" t="s">
        <v>17</v>
      </c>
    </row>
    <row r="474" spans="1:15" ht="17" x14ac:dyDescent="0.35">
      <c r="A474" s="9">
        <v>121.1</v>
      </c>
      <c r="B474" s="11">
        <v>26.526</v>
      </c>
      <c r="C474" s="6">
        <v>18.132999999999999</v>
      </c>
      <c r="D474" s="6">
        <v>5.5148000000000003E-2</v>
      </c>
      <c r="E474" s="6">
        <v>-0.52805000000000002</v>
      </c>
      <c r="F474" s="6">
        <v>-0.38177</v>
      </c>
      <c r="G474" s="6">
        <v>108.81</v>
      </c>
      <c r="H474" s="6">
        <v>28.81</v>
      </c>
      <c r="I474" s="6">
        <v>143.29</v>
      </c>
      <c r="J474" s="6">
        <v>295.58999999999997</v>
      </c>
      <c r="K474" s="6">
        <v>0.16578999999999999</v>
      </c>
      <c r="L474" s="6">
        <v>36.308</v>
      </c>
      <c r="M474" s="6">
        <v>5.9015999999999999E-2</v>
      </c>
      <c r="N474" s="6">
        <v>5.3054000000000003E-4</v>
      </c>
      <c r="O474" s="6" t="s">
        <v>17</v>
      </c>
    </row>
    <row r="475" spans="1:15" ht="17" x14ac:dyDescent="0.35">
      <c r="A475" s="9">
        <v>121.15</v>
      </c>
      <c r="B475" s="11">
        <v>26.582000000000001</v>
      </c>
      <c r="C475" s="6">
        <v>18.11</v>
      </c>
      <c r="D475" s="6">
        <v>5.5217000000000002E-2</v>
      </c>
      <c r="E475" s="6">
        <v>-0.52375000000000005</v>
      </c>
      <c r="F475" s="6">
        <v>-0.37697000000000003</v>
      </c>
      <c r="G475" s="6">
        <v>108.85</v>
      </c>
      <c r="H475" s="6">
        <v>28.832999999999998</v>
      </c>
      <c r="I475" s="6">
        <v>144.1</v>
      </c>
      <c r="J475" s="6">
        <v>294.72000000000003</v>
      </c>
      <c r="K475" s="6">
        <v>0.16689999999999999</v>
      </c>
      <c r="L475" s="6">
        <v>36.222999999999999</v>
      </c>
      <c r="M475" s="6">
        <v>5.8942000000000001E-2</v>
      </c>
      <c r="N475" s="6">
        <v>5.2499999999999997E-4</v>
      </c>
      <c r="O475" s="6" t="s">
        <v>17</v>
      </c>
    </row>
    <row r="476" spans="1:15" ht="17" x14ac:dyDescent="0.35">
      <c r="A476" s="9">
        <v>121.19</v>
      </c>
      <c r="B476" s="11">
        <v>26.638000000000002</v>
      </c>
      <c r="C476" s="6">
        <v>18.088000000000001</v>
      </c>
      <c r="D476" s="6">
        <v>5.5286000000000002E-2</v>
      </c>
      <c r="E476" s="6">
        <v>-0.51944000000000001</v>
      </c>
      <c r="F476" s="6">
        <v>-0.37215999999999999</v>
      </c>
      <c r="G476" s="6">
        <v>108.89</v>
      </c>
      <c r="H476" s="6">
        <v>28.856999999999999</v>
      </c>
      <c r="I476" s="6">
        <v>144.91999999999999</v>
      </c>
      <c r="J476" s="6">
        <v>293.83999999999997</v>
      </c>
      <c r="K476" s="6">
        <v>0.16802</v>
      </c>
      <c r="L476" s="6">
        <v>36.139000000000003</v>
      </c>
      <c r="M476" s="6">
        <v>5.8867000000000003E-2</v>
      </c>
      <c r="N476" s="6">
        <v>5.1946999999999996E-4</v>
      </c>
      <c r="O476" s="6" t="s">
        <v>17</v>
      </c>
    </row>
    <row r="477" spans="1:15" ht="17" x14ac:dyDescent="0.35">
      <c r="A477" s="9">
        <v>121.23</v>
      </c>
      <c r="B477" s="11">
        <v>26.695</v>
      </c>
      <c r="C477" s="6">
        <v>18.065000000000001</v>
      </c>
      <c r="D477" s="6">
        <v>5.5356000000000002E-2</v>
      </c>
      <c r="E477" s="6">
        <v>-0.51512000000000002</v>
      </c>
      <c r="F477" s="6">
        <v>-0.36735000000000001</v>
      </c>
      <c r="G477" s="6">
        <v>108.92</v>
      </c>
      <c r="H477" s="6">
        <v>28.881</v>
      </c>
      <c r="I477" s="6">
        <v>145.76</v>
      </c>
      <c r="J477" s="6">
        <v>292.95999999999998</v>
      </c>
      <c r="K477" s="6">
        <v>0.16914000000000001</v>
      </c>
      <c r="L477" s="6">
        <v>36.054000000000002</v>
      </c>
      <c r="M477" s="6">
        <v>5.8793999999999999E-2</v>
      </c>
      <c r="N477" s="6">
        <v>5.1396000000000005E-4</v>
      </c>
      <c r="O477" s="6" t="s">
        <v>17</v>
      </c>
    </row>
    <row r="478" spans="1:15" ht="17" x14ac:dyDescent="0.35">
      <c r="A478" s="9">
        <v>121.27</v>
      </c>
      <c r="B478" s="11">
        <v>26.751000000000001</v>
      </c>
      <c r="C478" s="6">
        <v>18.042000000000002</v>
      </c>
      <c r="D478" s="6">
        <v>5.5426000000000003E-2</v>
      </c>
      <c r="E478" s="6">
        <v>-0.51080000000000003</v>
      </c>
      <c r="F478" s="6">
        <v>-0.36253000000000002</v>
      </c>
      <c r="G478" s="6">
        <v>108.96</v>
      </c>
      <c r="H478" s="6">
        <v>28.905000000000001</v>
      </c>
      <c r="I478" s="6">
        <v>146.6</v>
      </c>
      <c r="J478" s="6">
        <v>292.08</v>
      </c>
      <c r="K478" s="6">
        <v>0.17027999999999999</v>
      </c>
      <c r="L478" s="6">
        <v>35.97</v>
      </c>
      <c r="M478" s="6">
        <v>5.8720000000000001E-2</v>
      </c>
      <c r="N478" s="6">
        <v>5.0847999999999996E-4</v>
      </c>
      <c r="O478" s="6" t="s">
        <v>17</v>
      </c>
    </row>
    <row r="479" spans="1:15" ht="17" x14ac:dyDescent="0.35">
      <c r="A479" s="9">
        <v>121.32</v>
      </c>
      <c r="B479" s="11">
        <v>26.806999999999999</v>
      </c>
      <c r="C479" s="6">
        <v>18.018999999999998</v>
      </c>
      <c r="D479" s="6">
        <v>5.5495999999999997E-2</v>
      </c>
      <c r="E479" s="6">
        <v>-0.50646000000000002</v>
      </c>
      <c r="F479" s="6">
        <v>-0.35769000000000001</v>
      </c>
      <c r="G479" s="6">
        <v>109</v>
      </c>
      <c r="H479" s="6">
        <v>28.93</v>
      </c>
      <c r="I479" s="6">
        <v>147.46</v>
      </c>
      <c r="J479" s="6">
        <v>291.19</v>
      </c>
      <c r="K479" s="6">
        <v>0.17141999999999999</v>
      </c>
      <c r="L479" s="6">
        <v>35.884999999999998</v>
      </c>
      <c r="M479" s="6">
        <v>5.8646999999999998E-2</v>
      </c>
      <c r="N479" s="6">
        <v>5.0301000000000002E-4</v>
      </c>
      <c r="O479" s="6" t="s">
        <v>17</v>
      </c>
    </row>
    <row r="480" spans="1:15" ht="17" x14ac:dyDescent="0.35">
      <c r="A480" s="9">
        <v>121.36</v>
      </c>
      <c r="B480" s="11">
        <v>26.864000000000001</v>
      </c>
      <c r="C480" s="6">
        <v>17.995999999999999</v>
      </c>
      <c r="D480" s="6">
        <v>5.5566999999999998E-2</v>
      </c>
      <c r="E480" s="6">
        <v>-0.50212999999999997</v>
      </c>
      <c r="F480" s="6">
        <v>-0.35285</v>
      </c>
      <c r="G480" s="6">
        <v>109.04</v>
      </c>
      <c r="H480" s="6">
        <v>28.954999999999998</v>
      </c>
      <c r="I480" s="6">
        <v>148.34</v>
      </c>
      <c r="J480" s="6">
        <v>290.31</v>
      </c>
      <c r="K480" s="6">
        <v>0.17258000000000001</v>
      </c>
      <c r="L480" s="6">
        <v>35.799999999999997</v>
      </c>
      <c r="M480" s="6">
        <v>5.8575000000000002E-2</v>
      </c>
      <c r="N480" s="6">
        <v>4.9755999999999997E-4</v>
      </c>
      <c r="O480" s="6" t="s">
        <v>17</v>
      </c>
    </row>
    <row r="481" spans="1:15" ht="17" x14ac:dyDescent="0.35">
      <c r="A481" s="9">
        <v>121.4</v>
      </c>
      <c r="B481" s="11">
        <v>26.92</v>
      </c>
      <c r="C481" s="6">
        <v>17.972999999999999</v>
      </c>
      <c r="D481" s="6">
        <v>5.5638E-2</v>
      </c>
      <c r="E481" s="6">
        <v>-0.49778</v>
      </c>
      <c r="F481" s="6">
        <v>-0.34800999999999999</v>
      </c>
      <c r="G481" s="6">
        <v>109.07</v>
      </c>
      <c r="H481" s="6">
        <v>28.98</v>
      </c>
      <c r="I481" s="6">
        <v>149.22999999999999</v>
      </c>
      <c r="J481" s="6">
        <v>289.43</v>
      </c>
      <c r="K481" s="6">
        <v>0.17374000000000001</v>
      </c>
      <c r="L481" s="6">
        <v>35.715000000000003</v>
      </c>
      <c r="M481" s="6">
        <v>5.8502999999999999E-2</v>
      </c>
      <c r="N481" s="6">
        <v>4.9213999999999996E-4</v>
      </c>
      <c r="O481" s="6" t="s">
        <v>17</v>
      </c>
    </row>
    <row r="482" spans="1:15" ht="17" x14ac:dyDescent="0.35">
      <c r="A482" s="9">
        <v>121.44</v>
      </c>
      <c r="B482" s="11">
        <v>26.975999999999999</v>
      </c>
      <c r="C482" s="6">
        <v>17.95</v>
      </c>
      <c r="D482" s="6">
        <v>5.5710000000000003E-2</v>
      </c>
      <c r="E482" s="6">
        <v>-0.49342999999999998</v>
      </c>
      <c r="F482" s="6">
        <v>-0.34315000000000001</v>
      </c>
      <c r="G482" s="6">
        <v>109.11</v>
      </c>
      <c r="H482" s="6">
        <v>29.004999999999999</v>
      </c>
      <c r="I482" s="6">
        <v>150.13</v>
      </c>
      <c r="J482" s="6">
        <v>288.54000000000002</v>
      </c>
      <c r="K482" s="6">
        <v>0.17491000000000001</v>
      </c>
      <c r="L482" s="6">
        <v>35.630000000000003</v>
      </c>
      <c r="M482" s="6">
        <v>5.8430999999999997E-2</v>
      </c>
      <c r="N482" s="6">
        <v>4.8673999999999999E-4</v>
      </c>
      <c r="O482" s="6" t="s">
        <v>17</v>
      </c>
    </row>
    <row r="483" spans="1:15" ht="17" x14ac:dyDescent="0.35">
      <c r="A483" s="9">
        <v>121.48</v>
      </c>
      <c r="B483" s="11">
        <v>27.032</v>
      </c>
      <c r="C483" s="6">
        <v>17.927</v>
      </c>
      <c r="D483" s="6">
        <v>5.5781999999999998E-2</v>
      </c>
      <c r="E483" s="6">
        <v>-0.48907</v>
      </c>
      <c r="F483" s="6">
        <v>-0.33828000000000003</v>
      </c>
      <c r="G483" s="6">
        <v>109.15</v>
      </c>
      <c r="H483" s="6">
        <v>29.030999999999999</v>
      </c>
      <c r="I483" s="6">
        <v>151.05000000000001</v>
      </c>
      <c r="J483" s="6">
        <v>287.64999999999998</v>
      </c>
      <c r="K483" s="6">
        <v>0.17609</v>
      </c>
      <c r="L483" s="6">
        <v>35.545000000000002</v>
      </c>
      <c r="M483" s="6">
        <v>5.8359000000000001E-2</v>
      </c>
      <c r="N483" s="6">
        <v>4.8135000000000002E-4</v>
      </c>
      <c r="O483" s="6" t="s">
        <v>17</v>
      </c>
    </row>
    <row r="484" spans="1:15" ht="17" x14ac:dyDescent="0.35">
      <c r="A484" s="9">
        <v>121.53</v>
      </c>
      <c r="B484" s="11">
        <v>27.088999999999999</v>
      </c>
      <c r="C484" s="6">
        <v>17.904</v>
      </c>
      <c r="D484" s="6">
        <v>5.5855000000000002E-2</v>
      </c>
      <c r="E484" s="6">
        <v>-0.48470999999999997</v>
      </c>
      <c r="F484" s="6">
        <v>-0.33339999999999997</v>
      </c>
      <c r="G484" s="6">
        <v>109.19</v>
      </c>
      <c r="H484" s="6">
        <v>29.058</v>
      </c>
      <c r="I484" s="6">
        <v>151.97999999999999</v>
      </c>
      <c r="J484" s="6">
        <v>286.76</v>
      </c>
      <c r="K484" s="6">
        <v>0.17729</v>
      </c>
      <c r="L484" s="6">
        <v>35.46</v>
      </c>
      <c r="M484" s="6">
        <v>5.8289000000000001E-2</v>
      </c>
      <c r="N484" s="6">
        <v>4.7598999999999997E-4</v>
      </c>
      <c r="O484" s="6" t="s">
        <v>17</v>
      </c>
    </row>
    <row r="485" spans="1:15" ht="17" x14ac:dyDescent="0.35">
      <c r="A485" s="9">
        <v>121.57</v>
      </c>
      <c r="B485" s="11">
        <v>27.145</v>
      </c>
      <c r="C485" s="6">
        <v>17.88</v>
      </c>
      <c r="D485" s="6">
        <v>5.5927999999999999E-2</v>
      </c>
      <c r="E485" s="6">
        <v>-0.48032999999999998</v>
      </c>
      <c r="F485" s="6">
        <v>-0.32851999999999998</v>
      </c>
      <c r="G485" s="6">
        <v>109.22</v>
      </c>
      <c r="H485" s="6">
        <v>29.084</v>
      </c>
      <c r="I485" s="6">
        <v>152.93</v>
      </c>
      <c r="J485" s="6">
        <v>285.87</v>
      </c>
      <c r="K485" s="6">
        <v>0.17849000000000001</v>
      </c>
      <c r="L485" s="6">
        <v>35.375</v>
      </c>
      <c r="M485" s="6">
        <v>5.8217999999999999E-2</v>
      </c>
      <c r="N485" s="6">
        <v>4.7064999999999997E-4</v>
      </c>
      <c r="O485" s="6" t="s">
        <v>17</v>
      </c>
    </row>
    <row r="486" spans="1:15" ht="17" x14ac:dyDescent="0.35">
      <c r="A486" s="9">
        <v>121.61</v>
      </c>
      <c r="B486" s="11">
        <v>27.201000000000001</v>
      </c>
      <c r="C486" s="6">
        <v>17.856999999999999</v>
      </c>
      <c r="D486" s="6">
        <v>5.6001000000000002E-2</v>
      </c>
      <c r="E486" s="6">
        <v>-0.47594999999999998</v>
      </c>
      <c r="F486" s="6">
        <v>-0.32362000000000002</v>
      </c>
      <c r="G486" s="6">
        <v>109.26</v>
      </c>
      <c r="H486" s="6">
        <v>29.111000000000001</v>
      </c>
      <c r="I486" s="6">
        <v>153.88999999999999</v>
      </c>
      <c r="J486" s="6">
        <v>284.97000000000003</v>
      </c>
      <c r="K486" s="6">
        <v>0.1797</v>
      </c>
      <c r="L486" s="6">
        <v>35.29</v>
      </c>
      <c r="M486" s="6">
        <v>5.8147999999999998E-2</v>
      </c>
      <c r="N486" s="6">
        <v>4.6533000000000002E-4</v>
      </c>
      <c r="O486" s="6" t="s">
        <v>17</v>
      </c>
    </row>
    <row r="487" spans="1:15" ht="17" x14ac:dyDescent="0.35">
      <c r="A487" s="9">
        <v>121.65</v>
      </c>
      <c r="B487" s="11">
        <v>27.257999999999999</v>
      </c>
      <c r="C487" s="6">
        <v>17.832999999999998</v>
      </c>
      <c r="D487" s="6">
        <v>5.6075E-2</v>
      </c>
      <c r="E487" s="6">
        <v>-0.47155999999999998</v>
      </c>
      <c r="F487" s="6">
        <v>-0.31872</v>
      </c>
      <c r="G487" s="6">
        <v>109.3</v>
      </c>
      <c r="H487" s="6">
        <v>29.138999999999999</v>
      </c>
      <c r="I487" s="6">
        <v>154.87</v>
      </c>
      <c r="J487" s="6">
        <v>284.08</v>
      </c>
      <c r="K487" s="6">
        <v>0.18092</v>
      </c>
      <c r="L487" s="6">
        <v>35.204999999999998</v>
      </c>
      <c r="M487" s="6">
        <v>5.8078999999999999E-2</v>
      </c>
      <c r="N487" s="6">
        <v>4.6003E-4</v>
      </c>
      <c r="O487" s="6" t="s">
        <v>17</v>
      </c>
    </row>
    <row r="488" spans="1:15" ht="17" x14ac:dyDescent="0.35">
      <c r="A488" s="9">
        <v>121.69</v>
      </c>
      <c r="B488" s="11">
        <v>27.314</v>
      </c>
      <c r="C488" s="6">
        <v>17.809999999999999</v>
      </c>
      <c r="D488" s="6">
        <v>5.6149999999999999E-2</v>
      </c>
      <c r="E488" s="6">
        <v>-0.46716999999999997</v>
      </c>
      <c r="F488" s="6">
        <v>-0.31380000000000002</v>
      </c>
      <c r="G488" s="6">
        <v>109.34</v>
      </c>
      <c r="H488" s="6">
        <v>29.167000000000002</v>
      </c>
      <c r="I488" s="6">
        <v>155.87</v>
      </c>
      <c r="J488" s="6">
        <v>283.18</v>
      </c>
      <c r="K488" s="6">
        <v>0.18215000000000001</v>
      </c>
      <c r="L488" s="6">
        <v>35.119</v>
      </c>
      <c r="M488" s="6">
        <v>5.8008999999999998E-2</v>
      </c>
      <c r="N488" s="6">
        <v>4.5475000000000002E-4</v>
      </c>
      <c r="O488" s="6" t="s">
        <v>17</v>
      </c>
    </row>
    <row r="489" spans="1:15" ht="17" x14ac:dyDescent="0.35">
      <c r="A489" s="9">
        <v>121.74</v>
      </c>
      <c r="B489" s="11">
        <v>27.37</v>
      </c>
      <c r="C489" s="6">
        <v>17.786000000000001</v>
      </c>
      <c r="D489" s="6">
        <v>5.6224000000000003E-2</v>
      </c>
      <c r="E489" s="6">
        <v>-0.46276</v>
      </c>
      <c r="F489" s="6">
        <v>-0.30886999999999998</v>
      </c>
      <c r="G489" s="6">
        <v>109.38</v>
      </c>
      <c r="H489" s="6">
        <v>29.195</v>
      </c>
      <c r="I489" s="6">
        <v>156.88999999999999</v>
      </c>
      <c r="J489" s="6">
        <v>282.27999999999997</v>
      </c>
      <c r="K489" s="6">
        <v>0.18339</v>
      </c>
      <c r="L489" s="6">
        <v>35.033999999999999</v>
      </c>
      <c r="M489" s="6">
        <v>5.7940999999999999E-2</v>
      </c>
      <c r="N489" s="6">
        <v>4.4948999999999998E-4</v>
      </c>
      <c r="O489" s="6" t="s">
        <v>17</v>
      </c>
    </row>
    <row r="490" spans="1:15" ht="17" x14ac:dyDescent="0.35">
      <c r="A490" s="9">
        <v>121.78</v>
      </c>
      <c r="B490" s="11">
        <v>27.425999999999998</v>
      </c>
      <c r="C490" s="6">
        <v>17.762</v>
      </c>
      <c r="D490" s="6">
        <v>5.6300000000000003E-2</v>
      </c>
      <c r="E490" s="6">
        <v>-0.45834999999999998</v>
      </c>
      <c r="F490" s="6">
        <v>-0.30393999999999999</v>
      </c>
      <c r="G490" s="6">
        <v>109.41</v>
      </c>
      <c r="H490" s="6">
        <v>29.222999999999999</v>
      </c>
      <c r="I490" s="6">
        <v>157.91999999999999</v>
      </c>
      <c r="J490" s="6">
        <v>281.38</v>
      </c>
      <c r="K490" s="6">
        <v>0.18465000000000001</v>
      </c>
      <c r="L490" s="6">
        <v>34.948</v>
      </c>
      <c r="M490" s="6">
        <v>5.7873000000000001E-2</v>
      </c>
      <c r="N490" s="6">
        <v>4.4424999999999998E-4</v>
      </c>
      <c r="O490" s="6" t="s">
        <v>17</v>
      </c>
    </row>
    <row r="491" spans="1:15" ht="17" x14ac:dyDescent="0.35">
      <c r="A491" s="9">
        <v>121.82</v>
      </c>
      <c r="B491" s="11">
        <v>27.483000000000001</v>
      </c>
      <c r="C491" s="6">
        <v>17.738</v>
      </c>
      <c r="D491" s="6">
        <v>5.6376000000000002E-2</v>
      </c>
      <c r="E491" s="6">
        <v>-0.45393</v>
      </c>
      <c r="F491" s="6">
        <v>-0.29898999999999998</v>
      </c>
      <c r="G491" s="6">
        <v>109.45</v>
      </c>
      <c r="H491" s="6">
        <v>29.251999999999999</v>
      </c>
      <c r="I491" s="6">
        <v>158.97</v>
      </c>
      <c r="J491" s="6">
        <v>280.48</v>
      </c>
      <c r="K491" s="6">
        <v>0.18590999999999999</v>
      </c>
      <c r="L491" s="6">
        <v>34.862000000000002</v>
      </c>
      <c r="M491" s="6">
        <v>5.7805000000000002E-2</v>
      </c>
      <c r="N491" s="6">
        <v>4.3902999999999998E-4</v>
      </c>
      <c r="O491" s="6" t="s">
        <v>17</v>
      </c>
    </row>
    <row r="492" spans="1:15" ht="17" x14ac:dyDescent="0.35">
      <c r="A492" s="9">
        <v>121.86</v>
      </c>
      <c r="B492" s="11">
        <v>27.539000000000001</v>
      </c>
      <c r="C492" s="6">
        <v>17.713999999999999</v>
      </c>
      <c r="D492" s="6">
        <v>5.6452000000000002E-2</v>
      </c>
      <c r="E492" s="6">
        <v>-0.44950000000000001</v>
      </c>
      <c r="F492" s="6">
        <v>-0.29403000000000001</v>
      </c>
      <c r="G492" s="6">
        <v>109.49</v>
      </c>
      <c r="H492" s="6">
        <v>29.282</v>
      </c>
      <c r="I492" s="6">
        <v>160.04</v>
      </c>
      <c r="J492" s="6">
        <v>279.58</v>
      </c>
      <c r="K492" s="6">
        <v>0.18719</v>
      </c>
      <c r="L492" s="6">
        <v>34.776000000000003</v>
      </c>
      <c r="M492" s="6">
        <v>5.7737999999999998E-2</v>
      </c>
      <c r="N492" s="6">
        <v>4.3384000000000001E-4</v>
      </c>
      <c r="O492" s="6" t="s">
        <v>17</v>
      </c>
    </row>
    <row r="493" spans="1:15" ht="17" x14ac:dyDescent="0.35">
      <c r="A493" s="9">
        <v>121.9</v>
      </c>
      <c r="B493" s="11">
        <v>27.594999999999999</v>
      </c>
      <c r="C493" s="6">
        <v>17.690000000000001</v>
      </c>
      <c r="D493" s="6">
        <v>5.6529000000000003E-2</v>
      </c>
      <c r="E493" s="6">
        <v>-0.44506000000000001</v>
      </c>
      <c r="F493" s="6">
        <v>-0.28905999999999998</v>
      </c>
      <c r="G493" s="6">
        <v>109.53</v>
      </c>
      <c r="H493" s="6">
        <v>29.312000000000001</v>
      </c>
      <c r="I493" s="6">
        <v>161.13</v>
      </c>
      <c r="J493" s="6">
        <v>278.67</v>
      </c>
      <c r="K493" s="6">
        <v>0.18847</v>
      </c>
      <c r="L493" s="6">
        <v>34.69</v>
      </c>
      <c r="M493" s="6">
        <v>5.7672000000000001E-2</v>
      </c>
      <c r="N493" s="6">
        <v>4.2865999999999998E-4</v>
      </c>
      <c r="O493" s="6" t="s">
        <v>17</v>
      </c>
    </row>
    <row r="494" spans="1:15" ht="17" x14ac:dyDescent="0.35">
      <c r="A494" s="9">
        <v>121.94</v>
      </c>
      <c r="B494" s="11">
        <v>27.652000000000001</v>
      </c>
      <c r="C494" s="6">
        <v>17.666</v>
      </c>
      <c r="D494" s="6">
        <v>5.6605999999999997E-2</v>
      </c>
      <c r="E494" s="6">
        <v>-0.44061</v>
      </c>
      <c r="F494" s="6">
        <v>-0.28408</v>
      </c>
      <c r="G494" s="6">
        <v>109.57</v>
      </c>
      <c r="H494" s="6">
        <v>29.341999999999999</v>
      </c>
      <c r="I494" s="6">
        <v>162.22999999999999</v>
      </c>
      <c r="J494" s="6">
        <v>277.76</v>
      </c>
      <c r="K494" s="6">
        <v>0.18976999999999999</v>
      </c>
      <c r="L494" s="6">
        <v>34.603999999999999</v>
      </c>
      <c r="M494" s="6">
        <v>5.7605000000000003E-2</v>
      </c>
      <c r="N494" s="6">
        <v>4.2349999999999999E-4</v>
      </c>
      <c r="O494" s="6" t="s">
        <v>17</v>
      </c>
    </row>
    <row r="495" spans="1:15" ht="17" x14ac:dyDescent="0.35">
      <c r="A495" s="9">
        <v>121.99</v>
      </c>
      <c r="B495" s="11">
        <v>27.707999999999998</v>
      </c>
      <c r="C495" s="6">
        <v>17.641999999999999</v>
      </c>
      <c r="D495" s="6">
        <v>5.6683999999999998E-2</v>
      </c>
      <c r="E495" s="6">
        <v>-0.43614999999999998</v>
      </c>
      <c r="F495" s="6">
        <v>-0.27909</v>
      </c>
      <c r="G495" s="6">
        <v>109.6</v>
      </c>
      <c r="H495" s="6">
        <v>29.373000000000001</v>
      </c>
      <c r="I495" s="6">
        <v>163.36000000000001</v>
      </c>
      <c r="J495" s="6">
        <v>276.85000000000002</v>
      </c>
      <c r="K495" s="6">
        <v>0.19108</v>
      </c>
      <c r="L495" s="6">
        <v>34.518000000000001</v>
      </c>
      <c r="M495" s="6">
        <v>5.7540000000000001E-2</v>
      </c>
      <c r="N495" s="6">
        <v>4.1836999999999999E-4</v>
      </c>
      <c r="O495" s="6" t="s">
        <v>17</v>
      </c>
    </row>
    <row r="496" spans="1:15" ht="17" x14ac:dyDescent="0.35">
      <c r="A496" s="9">
        <v>122.03</v>
      </c>
      <c r="B496" s="11">
        <v>27.763999999999999</v>
      </c>
      <c r="C496" s="6">
        <v>17.617000000000001</v>
      </c>
      <c r="D496" s="6">
        <v>5.6763000000000001E-2</v>
      </c>
      <c r="E496" s="6">
        <v>-0.43168000000000001</v>
      </c>
      <c r="F496" s="6">
        <v>-0.27407999999999999</v>
      </c>
      <c r="G496" s="6">
        <v>109.64</v>
      </c>
      <c r="H496" s="6">
        <v>29.404</v>
      </c>
      <c r="I496" s="6">
        <v>164.51</v>
      </c>
      <c r="J496" s="6">
        <v>275.94</v>
      </c>
      <c r="K496" s="6">
        <v>0.19239999999999999</v>
      </c>
      <c r="L496" s="6">
        <v>34.432000000000002</v>
      </c>
      <c r="M496" s="6">
        <v>5.7474999999999998E-2</v>
      </c>
      <c r="N496" s="6">
        <v>4.1324999999999999E-4</v>
      </c>
      <c r="O496" s="6" t="s">
        <v>17</v>
      </c>
    </row>
    <row r="497" spans="1:15" ht="17" x14ac:dyDescent="0.35">
      <c r="A497" s="9">
        <v>122.07</v>
      </c>
      <c r="B497" s="11">
        <v>27.821000000000002</v>
      </c>
      <c r="C497" s="6">
        <v>17.593</v>
      </c>
      <c r="D497" s="6">
        <v>5.6841999999999997E-2</v>
      </c>
      <c r="E497" s="6">
        <v>-0.42720999999999998</v>
      </c>
      <c r="F497" s="6">
        <v>-0.26906999999999998</v>
      </c>
      <c r="G497" s="6">
        <v>109.68</v>
      </c>
      <c r="H497" s="6">
        <v>29.436</v>
      </c>
      <c r="I497" s="6">
        <v>165.68</v>
      </c>
      <c r="J497" s="6">
        <v>275.02</v>
      </c>
      <c r="K497" s="6">
        <v>0.19373000000000001</v>
      </c>
      <c r="L497" s="6">
        <v>34.344999999999999</v>
      </c>
      <c r="M497" s="6">
        <v>5.7410999999999997E-2</v>
      </c>
      <c r="N497" s="6">
        <v>4.0816000000000002E-4</v>
      </c>
      <c r="O497" s="6" t="s">
        <v>17</v>
      </c>
    </row>
    <row r="498" spans="1:15" ht="17" x14ac:dyDescent="0.35">
      <c r="A498" s="9">
        <v>122.11</v>
      </c>
      <c r="B498" s="11">
        <v>27.876999999999999</v>
      </c>
      <c r="C498" s="6">
        <v>17.568000000000001</v>
      </c>
      <c r="D498" s="6">
        <v>5.6920999999999999E-2</v>
      </c>
      <c r="E498" s="6">
        <v>-0.42271999999999998</v>
      </c>
      <c r="F498" s="6">
        <v>-0.26404</v>
      </c>
      <c r="G498" s="6">
        <v>109.72</v>
      </c>
      <c r="H498" s="6">
        <v>29.468</v>
      </c>
      <c r="I498" s="6">
        <v>166.87</v>
      </c>
      <c r="J498" s="6">
        <v>274.11</v>
      </c>
      <c r="K498" s="6">
        <v>0.19506999999999999</v>
      </c>
      <c r="L498" s="6">
        <v>34.259</v>
      </c>
      <c r="M498" s="6">
        <v>5.7347000000000002E-2</v>
      </c>
      <c r="N498" s="6">
        <v>4.0308E-4</v>
      </c>
      <c r="O498" s="6" t="s">
        <v>17</v>
      </c>
    </row>
    <row r="499" spans="1:15" ht="17" x14ac:dyDescent="0.35">
      <c r="A499" s="9">
        <v>122.15</v>
      </c>
      <c r="B499" s="11">
        <v>27.933</v>
      </c>
      <c r="C499" s="6">
        <v>17.542999999999999</v>
      </c>
      <c r="D499" s="6">
        <v>5.7001000000000003E-2</v>
      </c>
      <c r="E499" s="6">
        <v>-0.41821999999999998</v>
      </c>
      <c r="F499" s="6">
        <v>-0.25900000000000001</v>
      </c>
      <c r="G499" s="6">
        <v>109.76</v>
      </c>
      <c r="H499" s="6">
        <v>29.5</v>
      </c>
      <c r="I499" s="6">
        <v>168.09</v>
      </c>
      <c r="J499" s="6">
        <v>273.19</v>
      </c>
      <c r="K499" s="6">
        <v>0.19642999999999999</v>
      </c>
      <c r="L499" s="6">
        <v>34.171999999999997</v>
      </c>
      <c r="M499" s="6">
        <v>5.7284000000000002E-2</v>
      </c>
      <c r="N499" s="6">
        <v>3.9803000000000001E-4</v>
      </c>
      <c r="O499" s="6" t="s">
        <v>17</v>
      </c>
    </row>
    <row r="500" spans="1:15" ht="17" x14ac:dyDescent="0.35">
      <c r="A500" s="9">
        <v>122.19</v>
      </c>
      <c r="B500" s="11">
        <v>27.989000000000001</v>
      </c>
      <c r="C500" s="6">
        <v>17.518999999999998</v>
      </c>
      <c r="D500" s="6">
        <v>5.7082000000000001E-2</v>
      </c>
      <c r="E500" s="6">
        <v>-0.41371000000000002</v>
      </c>
      <c r="F500" s="6">
        <v>-0.25394</v>
      </c>
      <c r="G500" s="6">
        <v>109.8</v>
      </c>
      <c r="H500" s="6">
        <v>29.533000000000001</v>
      </c>
      <c r="I500" s="6">
        <v>169.32</v>
      </c>
      <c r="J500" s="6">
        <v>272.27</v>
      </c>
      <c r="K500" s="6">
        <v>0.19778999999999999</v>
      </c>
      <c r="L500" s="6">
        <v>34.085000000000001</v>
      </c>
      <c r="M500" s="6">
        <v>5.7221000000000001E-2</v>
      </c>
      <c r="N500" s="6">
        <v>3.9300000000000001E-4</v>
      </c>
      <c r="O500" s="6" t="s">
        <v>17</v>
      </c>
    </row>
    <row r="501" spans="1:15" ht="17" x14ac:dyDescent="0.35">
      <c r="A501" s="9">
        <v>122.23</v>
      </c>
      <c r="B501" s="11">
        <v>28.045999999999999</v>
      </c>
      <c r="C501" s="6">
        <v>17.494</v>
      </c>
      <c r="D501" s="6">
        <v>5.7162999999999999E-2</v>
      </c>
      <c r="E501" s="6">
        <v>-0.40920000000000001</v>
      </c>
      <c r="F501" s="6">
        <v>-0.24887999999999999</v>
      </c>
      <c r="G501" s="6">
        <v>109.84</v>
      </c>
      <c r="H501" s="6">
        <v>29.567</v>
      </c>
      <c r="I501" s="6">
        <v>170.59</v>
      </c>
      <c r="J501" s="6">
        <v>271.35000000000002</v>
      </c>
      <c r="K501" s="6">
        <v>0.19917000000000001</v>
      </c>
      <c r="L501" s="6">
        <v>33.997999999999998</v>
      </c>
      <c r="M501" s="6">
        <v>5.7159000000000001E-2</v>
      </c>
      <c r="N501" s="6">
        <v>3.8799E-4</v>
      </c>
      <c r="O501" s="6" t="s">
        <v>17</v>
      </c>
    </row>
    <row r="502" spans="1:15" ht="17" x14ac:dyDescent="0.35">
      <c r="A502" s="9">
        <v>122.27</v>
      </c>
      <c r="B502" s="11">
        <v>28.102</v>
      </c>
      <c r="C502" s="6">
        <v>17.469000000000001</v>
      </c>
      <c r="D502" s="6">
        <v>5.7244999999999997E-2</v>
      </c>
      <c r="E502" s="6">
        <v>-0.40466999999999997</v>
      </c>
      <c r="F502" s="6">
        <v>-0.24379999999999999</v>
      </c>
      <c r="G502" s="6">
        <v>109.87</v>
      </c>
      <c r="H502" s="6">
        <v>29.600999999999999</v>
      </c>
      <c r="I502" s="6">
        <v>171.87</v>
      </c>
      <c r="J502" s="6">
        <v>270.42</v>
      </c>
      <c r="K502" s="6">
        <v>0.20057</v>
      </c>
      <c r="L502" s="6">
        <v>33.911000000000001</v>
      </c>
      <c r="M502" s="6">
        <v>5.7098000000000003E-2</v>
      </c>
      <c r="N502" s="6">
        <v>3.8299999999999999E-4</v>
      </c>
      <c r="O502" s="6" t="s">
        <v>17</v>
      </c>
    </row>
    <row r="503" spans="1:15" ht="17" x14ac:dyDescent="0.35">
      <c r="A503" s="9">
        <v>122.31</v>
      </c>
      <c r="B503" s="11">
        <v>28.158000000000001</v>
      </c>
      <c r="C503" s="6">
        <v>17.443999999999999</v>
      </c>
      <c r="D503" s="6">
        <v>5.7327999999999997E-2</v>
      </c>
      <c r="E503" s="6">
        <v>-0.40012999999999999</v>
      </c>
      <c r="F503" s="6">
        <v>-0.2387</v>
      </c>
      <c r="G503" s="6">
        <v>109.91</v>
      </c>
      <c r="H503" s="6">
        <v>29.635999999999999</v>
      </c>
      <c r="I503" s="6">
        <v>173.18</v>
      </c>
      <c r="J503" s="6">
        <v>269.49</v>
      </c>
      <c r="K503" s="6">
        <v>0.20197000000000001</v>
      </c>
      <c r="L503" s="6">
        <v>33.823999999999998</v>
      </c>
      <c r="M503" s="6">
        <v>5.7036999999999997E-2</v>
      </c>
      <c r="N503" s="6">
        <v>3.7803000000000001E-4</v>
      </c>
      <c r="O503" s="6" t="s">
        <v>17</v>
      </c>
    </row>
    <row r="504" spans="1:15" ht="17" x14ac:dyDescent="0.35">
      <c r="A504" s="9">
        <v>122.36</v>
      </c>
      <c r="B504" s="11">
        <v>28.215</v>
      </c>
      <c r="C504" s="6">
        <v>17.417999999999999</v>
      </c>
      <c r="D504" s="6">
        <v>5.7410999999999997E-2</v>
      </c>
      <c r="E504" s="6">
        <v>-0.39557999999999999</v>
      </c>
      <c r="F504" s="6">
        <v>-0.23358999999999999</v>
      </c>
      <c r="G504" s="6">
        <v>109.95</v>
      </c>
      <c r="H504" s="6">
        <v>29.670999999999999</v>
      </c>
      <c r="I504" s="6">
        <v>174.52</v>
      </c>
      <c r="J504" s="6">
        <v>268.56</v>
      </c>
      <c r="K504" s="6">
        <v>0.20338999999999999</v>
      </c>
      <c r="L504" s="6">
        <v>33.735999999999997</v>
      </c>
      <c r="M504" s="6">
        <v>5.6977E-2</v>
      </c>
      <c r="N504" s="6">
        <v>3.7308000000000003E-4</v>
      </c>
      <c r="O504" s="6" t="s">
        <v>17</v>
      </c>
    </row>
    <row r="505" spans="1:15" ht="17" x14ac:dyDescent="0.35">
      <c r="A505" s="9">
        <v>122.4</v>
      </c>
      <c r="B505" s="11">
        <v>28.271000000000001</v>
      </c>
      <c r="C505" s="6">
        <v>17.393000000000001</v>
      </c>
      <c r="D505" s="6">
        <v>5.7494000000000003E-2</v>
      </c>
      <c r="E505" s="6">
        <v>-0.39101000000000002</v>
      </c>
      <c r="F505" s="6">
        <v>-0.22847000000000001</v>
      </c>
      <c r="G505" s="6">
        <v>109.99</v>
      </c>
      <c r="H505" s="6">
        <v>29.706</v>
      </c>
      <c r="I505" s="6">
        <v>175.89</v>
      </c>
      <c r="J505" s="6">
        <v>267.63</v>
      </c>
      <c r="K505" s="6">
        <v>0.20483000000000001</v>
      </c>
      <c r="L505" s="6">
        <v>33.649000000000001</v>
      </c>
      <c r="M505" s="6">
        <v>5.6918000000000003E-2</v>
      </c>
      <c r="N505" s="6">
        <v>3.6814999999999998E-4</v>
      </c>
      <c r="O505" s="6" t="s">
        <v>17</v>
      </c>
    </row>
    <row r="506" spans="1:15" ht="17" x14ac:dyDescent="0.35">
      <c r="A506" s="9">
        <v>122.44</v>
      </c>
      <c r="B506" s="11">
        <v>28.327000000000002</v>
      </c>
      <c r="C506" s="6">
        <v>17.367999999999999</v>
      </c>
      <c r="D506" s="6">
        <v>5.7578999999999998E-2</v>
      </c>
      <c r="E506" s="6">
        <v>-0.38644000000000001</v>
      </c>
      <c r="F506" s="6">
        <v>-0.22334000000000001</v>
      </c>
      <c r="G506" s="6">
        <v>110.03</v>
      </c>
      <c r="H506" s="6">
        <v>29.742999999999999</v>
      </c>
      <c r="I506" s="6">
        <v>177.28</v>
      </c>
      <c r="J506" s="6">
        <v>266.7</v>
      </c>
      <c r="K506" s="6">
        <v>0.20627000000000001</v>
      </c>
      <c r="L506" s="6">
        <v>33.561</v>
      </c>
      <c r="M506" s="6">
        <v>5.6859E-2</v>
      </c>
      <c r="N506" s="6">
        <v>3.6324000000000003E-4</v>
      </c>
      <c r="O506" s="6" t="s">
        <v>17</v>
      </c>
    </row>
    <row r="507" spans="1:15" ht="17" x14ac:dyDescent="0.35">
      <c r="A507" s="9">
        <v>122.48</v>
      </c>
      <c r="B507" s="11">
        <v>28.382999999999999</v>
      </c>
      <c r="C507" s="6">
        <v>17.341999999999999</v>
      </c>
      <c r="D507" s="6">
        <v>5.7664E-2</v>
      </c>
      <c r="E507" s="6">
        <v>-0.38185000000000002</v>
      </c>
      <c r="F507" s="6">
        <v>-0.21818000000000001</v>
      </c>
      <c r="G507" s="6">
        <v>110.07</v>
      </c>
      <c r="H507" s="6">
        <v>29.779</v>
      </c>
      <c r="I507" s="6">
        <v>178.7</v>
      </c>
      <c r="J507" s="6">
        <v>265.76</v>
      </c>
      <c r="K507" s="6">
        <v>0.20773</v>
      </c>
      <c r="L507" s="6">
        <v>33.472999999999999</v>
      </c>
      <c r="M507" s="6">
        <v>5.6800999999999997E-2</v>
      </c>
      <c r="N507" s="6">
        <v>3.5836E-4</v>
      </c>
      <c r="O507" s="6" t="s">
        <v>17</v>
      </c>
    </row>
    <row r="508" spans="1:15" ht="17" x14ac:dyDescent="0.35">
      <c r="A508" s="9">
        <v>122.52</v>
      </c>
      <c r="B508" s="11">
        <v>28.44</v>
      </c>
      <c r="C508" s="6">
        <v>17.315999999999999</v>
      </c>
      <c r="D508" s="6">
        <v>5.7749000000000002E-2</v>
      </c>
      <c r="E508" s="6">
        <v>-0.37724999999999997</v>
      </c>
      <c r="F508" s="6">
        <v>-0.21301999999999999</v>
      </c>
      <c r="G508" s="6">
        <v>110.11</v>
      </c>
      <c r="H508" s="6">
        <v>29.817</v>
      </c>
      <c r="I508" s="6">
        <v>180.15</v>
      </c>
      <c r="J508" s="6">
        <v>264.82</v>
      </c>
      <c r="K508" s="6">
        <v>0.20921000000000001</v>
      </c>
      <c r="L508" s="6">
        <v>33.384999999999998</v>
      </c>
      <c r="M508" s="6">
        <v>5.6744000000000003E-2</v>
      </c>
      <c r="N508" s="6">
        <v>3.5348999999999998E-4</v>
      </c>
      <c r="O508" s="6" t="s">
        <v>17</v>
      </c>
    </row>
    <row r="509" spans="1:15" ht="17" x14ac:dyDescent="0.35">
      <c r="A509" s="9">
        <v>122.56</v>
      </c>
      <c r="B509" s="11">
        <v>28.495999999999999</v>
      </c>
      <c r="C509" s="6">
        <v>17.29</v>
      </c>
      <c r="D509" s="6">
        <v>5.7834999999999998E-2</v>
      </c>
      <c r="E509" s="6">
        <v>-0.37264000000000003</v>
      </c>
      <c r="F509" s="6">
        <v>-0.20782999999999999</v>
      </c>
      <c r="G509" s="6">
        <v>110.15</v>
      </c>
      <c r="H509" s="6">
        <v>29.855</v>
      </c>
      <c r="I509" s="6">
        <v>181.63</v>
      </c>
      <c r="J509" s="6">
        <v>263.88</v>
      </c>
      <c r="K509" s="6">
        <v>0.21068999999999999</v>
      </c>
      <c r="L509" s="6">
        <v>33.296999999999997</v>
      </c>
      <c r="M509" s="6">
        <v>5.6687000000000001E-2</v>
      </c>
      <c r="N509" s="6">
        <v>3.4864999999999999E-4</v>
      </c>
      <c r="O509" s="6" t="s">
        <v>17</v>
      </c>
    </row>
    <row r="510" spans="1:15" ht="17" x14ac:dyDescent="0.35">
      <c r="A510" s="9">
        <v>122.6</v>
      </c>
      <c r="B510" s="11">
        <v>28.552</v>
      </c>
      <c r="C510" s="6">
        <v>17.263999999999999</v>
      </c>
      <c r="D510" s="6">
        <v>5.7922000000000001E-2</v>
      </c>
      <c r="E510" s="6">
        <v>-0.36802000000000001</v>
      </c>
      <c r="F510" s="6">
        <v>-0.20263999999999999</v>
      </c>
      <c r="G510" s="6">
        <v>110.19</v>
      </c>
      <c r="H510" s="6">
        <v>29.893000000000001</v>
      </c>
      <c r="I510" s="6">
        <v>183.14</v>
      </c>
      <c r="J510" s="6">
        <v>262.93</v>
      </c>
      <c r="K510" s="6">
        <v>0.2122</v>
      </c>
      <c r="L510" s="6">
        <v>33.207999999999998</v>
      </c>
      <c r="M510" s="6">
        <v>5.6631000000000001E-2</v>
      </c>
      <c r="N510" s="6">
        <v>3.4382E-4</v>
      </c>
      <c r="O510" s="6" t="s">
        <v>17</v>
      </c>
    </row>
    <row r="511" spans="1:15" ht="17" x14ac:dyDescent="0.35">
      <c r="A511" s="9">
        <v>122.64</v>
      </c>
      <c r="B511" s="11">
        <v>28.609000000000002</v>
      </c>
      <c r="C511" s="6">
        <v>17.238</v>
      </c>
      <c r="D511" s="6">
        <v>5.8009999999999999E-2</v>
      </c>
      <c r="E511" s="6">
        <v>-0.36337999999999998</v>
      </c>
      <c r="F511" s="6">
        <v>-0.19742000000000001</v>
      </c>
      <c r="G511" s="6">
        <v>110.23</v>
      </c>
      <c r="H511" s="6">
        <v>29.933</v>
      </c>
      <c r="I511" s="6">
        <v>184.69</v>
      </c>
      <c r="J511" s="6">
        <v>261.99</v>
      </c>
      <c r="K511" s="6">
        <v>0.21371000000000001</v>
      </c>
      <c r="L511" s="6">
        <v>33.119</v>
      </c>
      <c r="M511" s="6">
        <v>5.6577000000000002E-2</v>
      </c>
      <c r="N511" s="6">
        <v>3.3901999999999999E-4</v>
      </c>
      <c r="O511" s="6" t="s">
        <v>17</v>
      </c>
    </row>
    <row r="512" spans="1:15" ht="17" x14ac:dyDescent="0.35">
      <c r="A512" s="9">
        <v>122.68</v>
      </c>
      <c r="B512" s="11">
        <v>28.664999999999999</v>
      </c>
      <c r="C512" s="6">
        <v>17.212</v>
      </c>
      <c r="D512" s="6">
        <v>5.8097999999999997E-2</v>
      </c>
      <c r="E512" s="6">
        <v>-0.35872999999999999</v>
      </c>
      <c r="F512" s="6">
        <v>-0.19219</v>
      </c>
      <c r="G512" s="6">
        <v>110.27</v>
      </c>
      <c r="H512" s="6">
        <v>29.972000000000001</v>
      </c>
      <c r="I512" s="6">
        <v>186.27</v>
      </c>
      <c r="J512" s="6">
        <v>261.04000000000002</v>
      </c>
      <c r="K512" s="6">
        <v>0.21525</v>
      </c>
      <c r="L512" s="6">
        <v>33.030999999999999</v>
      </c>
      <c r="M512" s="6">
        <v>5.6522000000000003E-2</v>
      </c>
      <c r="N512" s="6">
        <v>3.3424000000000003E-4</v>
      </c>
      <c r="O512" s="6" t="s">
        <v>17</v>
      </c>
    </row>
    <row r="513" spans="1:15" ht="17" x14ac:dyDescent="0.35">
      <c r="A513" s="9">
        <v>122.72</v>
      </c>
      <c r="B513" s="11">
        <v>28.721</v>
      </c>
      <c r="C513" s="6">
        <v>17.186</v>
      </c>
      <c r="D513" s="6">
        <v>5.8187000000000003E-2</v>
      </c>
      <c r="E513" s="6">
        <v>-0.35407</v>
      </c>
      <c r="F513" s="6">
        <v>-0.18694</v>
      </c>
      <c r="G513" s="6">
        <v>110.31</v>
      </c>
      <c r="H513" s="6">
        <v>30.013000000000002</v>
      </c>
      <c r="I513" s="6">
        <v>187.88</v>
      </c>
      <c r="J513" s="6">
        <v>260.08</v>
      </c>
      <c r="K513" s="6">
        <v>0.21679999999999999</v>
      </c>
      <c r="L513" s="6">
        <v>32.941000000000003</v>
      </c>
      <c r="M513" s="6">
        <v>5.6468999999999998E-2</v>
      </c>
      <c r="N513" s="6">
        <v>3.2948E-4</v>
      </c>
      <c r="O513" s="6" t="s">
        <v>17</v>
      </c>
    </row>
    <row r="514" spans="1:15" ht="17" x14ac:dyDescent="0.35">
      <c r="A514" s="9">
        <v>122.76</v>
      </c>
      <c r="B514" s="11">
        <v>28.777000000000001</v>
      </c>
      <c r="C514" s="6">
        <v>17.158999999999999</v>
      </c>
      <c r="D514" s="6">
        <v>5.8277000000000002E-2</v>
      </c>
      <c r="E514" s="6">
        <v>-0.34938999999999998</v>
      </c>
      <c r="F514" s="6">
        <v>-0.18168000000000001</v>
      </c>
      <c r="G514" s="6">
        <v>110.35</v>
      </c>
      <c r="H514" s="6">
        <v>30.053999999999998</v>
      </c>
      <c r="I514" s="6">
        <v>189.53</v>
      </c>
      <c r="J514" s="6">
        <v>259.13</v>
      </c>
      <c r="K514" s="6">
        <v>0.21836</v>
      </c>
      <c r="L514" s="6">
        <v>32.851999999999997</v>
      </c>
      <c r="M514" s="6">
        <v>5.6417000000000002E-2</v>
      </c>
      <c r="N514" s="6">
        <v>3.2474000000000001E-4</v>
      </c>
      <c r="O514" s="6" t="s">
        <v>17</v>
      </c>
    </row>
    <row r="515" spans="1:15" ht="17" x14ac:dyDescent="0.35">
      <c r="A515" s="9">
        <v>122.8</v>
      </c>
      <c r="B515" s="11">
        <v>28.834</v>
      </c>
      <c r="C515" s="6">
        <v>17.132999999999999</v>
      </c>
      <c r="D515" s="6">
        <v>5.8368000000000003E-2</v>
      </c>
      <c r="E515" s="6">
        <v>-0.34469</v>
      </c>
      <c r="F515" s="6">
        <v>-0.1764</v>
      </c>
      <c r="G515" s="6">
        <v>110.39</v>
      </c>
      <c r="H515" s="6">
        <v>30.096</v>
      </c>
      <c r="I515" s="6">
        <v>191.22</v>
      </c>
      <c r="J515" s="6">
        <v>258.17</v>
      </c>
      <c r="K515" s="6">
        <v>0.21994</v>
      </c>
      <c r="L515" s="6">
        <v>32.762999999999998</v>
      </c>
      <c r="M515" s="6">
        <v>5.6364999999999998E-2</v>
      </c>
      <c r="N515" s="6">
        <v>3.2002000000000002E-4</v>
      </c>
      <c r="O515" s="6" t="s">
        <v>17</v>
      </c>
    </row>
    <row r="516" spans="1:15" ht="17" x14ac:dyDescent="0.35">
      <c r="A516" s="9">
        <v>122.84</v>
      </c>
      <c r="B516" s="11">
        <v>28.89</v>
      </c>
      <c r="C516" s="6">
        <v>17.106000000000002</v>
      </c>
      <c r="D516" s="6">
        <v>5.8458999999999997E-2</v>
      </c>
      <c r="E516" s="6">
        <v>-0.33999000000000001</v>
      </c>
      <c r="F516" s="6">
        <v>-0.1711</v>
      </c>
      <c r="G516" s="6">
        <v>110.43</v>
      </c>
      <c r="H516" s="6">
        <v>30.138000000000002</v>
      </c>
      <c r="I516" s="6">
        <v>192.94</v>
      </c>
      <c r="J516" s="6">
        <v>257.20999999999998</v>
      </c>
      <c r="K516" s="6">
        <v>0.22153</v>
      </c>
      <c r="L516" s="6">
        <v>32.673000000000002</v>
      </c>
      <c r="M516" s="6">
        <v>5.6314999999999997E-2</v>
      </c>
      <c r="N516" s="6">
        <v>3.1532000000000001E-4</v>
      </c>
      <c r="O516" s="6" t="s">
        <v>17</v>
      </c>
    </row>
    <row r="517" spans="1:15" ht="17" x14ac:dyDescent="0.35">
      <c r="A517" s="9">
        <v>122.88</v>
      </c>
      <c r="B517" s="11">
        <v>28.946000000000002</v>
      </c>
      <c r="C517" s="6">
        <v>17.079000000000001</v>
      </c>
      <c r="D517" s="6">
        <v>5.8550999999999999E-2</v>
      </c>
      <c r="E517" s="6">
        <v>-0.33526</v>
      </c>
      <c r="F517" s="6">
        <v>-0.16578000000000001</v>
      </c>
      <c r="G517" s="6">
        <v>110.47</v>
      </c>
      <c r="H517" s="6">
        <v>30.181999999999999</v>
      </c>
      <c r="I517" s="6">
        <v>194.71</v>
      </c>
      <c r="J517" s="6">
        <v>256.24</v>
      </c>
      <c r="K517" s="6">
        <v>0.22314999999999999</v>
      </c>
      <c r="L517" s="6">
        <v>32.582999999999998</v>
      </c>
      <c r="M517" s="6">
        <v>5.6265000000000003E-2</v>
      </c>
      <c r="N517" s="6">
        <v>3.1064999999999999E-4</v>
      </c>
      <c r="O517" s="6" t="s">
        <v>17</v>
      </c>
    </row>
    <row r="518" spans="1:15" ht="17" x14ac:dyDescent="0.35">
      <c r="A518" s="9">
        <v>122.92</v>
      </c>
      <c r="B518" s="11">
        <v>29.003</v>
      </c>
      <c r="C518" s="6">
        <v>17.052</v>
      </c>
      <c r="D518" s="6">
        <v>5.8644000000000002E-2</v>
      </c>
      <c r="E518" s="6">
        <v>-0.33052999999999999</v>
      </c>
      <c r="F518" s="6">
        <v>-0.16044</v>
      </c>
      <c r="G518" s="6">
        <v>110.51</v>
      </c>
      <c r="H518" s="6">
        <v>30.225999999999999</v>
      </c>
      <c r="I518" s="6">
        <v>196.51</v>
      </c>
      <c r="J518" s="6">
        <v>255.28</v>
      </c>
      <c r="K518" s="6">
        <v>0.22477</v>
      </c>
      <c r="L518" s="6">
        <v>32.493000000000002</v>
      </c>
      <c r="M518" s="6">
        <v>5.6216000000000002E-2</v>
      </c>
      <c r="N518" s="6">
        <v>3.0599000000000002E-4</v>
      </c>
      <c r="O518" s="6" t="s">
        <v>17</v>
      </c>
    </row>
    <row r="519" spans="1:15" ht="17" x14ac:dyDescent="0.35">
      <c r="A519" s="9">
        <v>122.96</v>
      </c>
      <c r="B519" s="11">
        <v>29.059000000000001</v>
      </c>
      <c r="C519" s="6">
        <v>17.024999999999999</v>
      </c>
      <c r="D519" s="6">
        <v>5.8737999999999999E-2</v>
      </c>
      <c r="E519" s="6">
        <v>-0.32577</v>
      </c>
      <c r="F519" s="6">
        <v>-0.15509000000000001</v>
      </c>
      <c r="G519" s="6">
        <v>110.55</v>
      </c>
      <c r="H519" s="6">
        <v>30.27</v>
      </c>
      <c r="I519" s="6">
        <v>198.36</v>
      </c>
      <c r="J519" s="6">
        <v>254.31</v>
      </c>
      <c r="K519" s="6">
        <v>0.22642000000000001</v>
      </c>
      <c r="L519" s="6">
        <v>32.402000000000001</v>
      </c>
      <c r="M519" s="6">
        <v>5.6168000000000003E-2</v>
      </c>
      <c r="N519" s="6">
        <v>3.0135999999999997E-4</v>
      </c>
      <c r="O519" s="6" t="s">
        <v>17</v>
      </c>
    </row>
    <row r="520" spans="1:15" ht="17" x14ac:dyDescent="0.35">
      <c r="A520" s="9">
        <v>123</v>
      </c>
      <c r="B520" s="11">
        <v>29.114999999999998</v>
      </c>
      <c r="C520" s="6">
        <v>16.997</v>
      </c>
      <c r="D520" s="6">
        <v>5.8832000000000002E-2</v>
      </c>
      <c r="E520" s="6">
        <v>-0.32100000000000001</v>
      </c>
      <c r="F520" s="6">
        <v>-0.14971000000000001</v>
      </c>
      <c r="G520" s="6">
        <v>110.59</v>
      </c>
      <c r="H520" s="6">
        <v>30.315999999999999</v>
      </c>
      <c r="I520" s="6">
        <v>200.25</v>
      </c>
      <c r="J520" s="6">
        <v>253.33</v>
      </c>
      <c r="K520" s="6">
        <v>0.22808</v>
      </c>
      <c r="L520" s="6">
        <v>32.311999999999998</v>
      </c>
      <c r="M520" s="6">
        <v>5.6120999999999997E-2</v>
      </c>
      <c r="N520" s="6">
        <v>2.9673999999999998E-4</v>
      </c>
      <c r="O520" s="6" t="s">
        <v>17</v>
      </c>
    </row>
    <row r="521" spans="1:15" ht="17" x14ac:dyDescent="0.35">
      <c r="A521" s="9">
        <v>123.04</v>
      </c>
      <c r="B521" s="11">
        <v>29.172000000000001</v>
      </c>
      <c r="C521" s="6">
        <v>16.97</v>
      </c>
      <c r="D521" s="6">
        <v>5.8928000000000001E-2</v>
      </c>
      <c r="E521" s="6">
        <v>-0.31622</v>
      </c>
      <c r="F521" s="6">
        <v>-0.14430999999999999</v>
      </c>
      <c r="G521" s="6">
        <v>110.64</v>
      </c>
      <c r="H521" s="6">
        <v>30.361999999999998</v>
      </c>
      <c r="I521" s="6">
        <v>202.19</v>
      </c>
      <c r="J521" s="6">
        <v>252.35</v>
      </c>
      <c r="K521" s="6">
        <v>0.22975999999999999</v>
      </c>
      <c r="L521" s="6">
        <v>32.220999999999997</v>
      </c>
      <c r="M521" s="6">
        <v>5.6076000000000001E-2</v>
      </c>
      <c r="N521" s="6">
        <v>2.9215000000000003E-4</v>
      </c>
      <c r="O521" s="6" t="s">
        <v>17</v>
      </c>
    </row>
    <row r="522" spans="1:15" ht="17" x14ac:dyDescent="0.35">
      <c r="A522" s="9">
        <v>123.08</v>
      </c>
      <c r="B522" s="11">
        <v>29.228000000000002</v>
      </c>
      <c r="C522" s="6">
        <v>16.942</v>
      </c>
      <c r="D522" s="6">
        <v>5.9024E-2</v>
      </c>
      <c r="E522" s="6">
        <v>-0.31141000000000002</v>
      </c>
      <c r="F522" s="6">
        <v>-0.1389</v>
      </c>
      <c r="G522" s="6">
        <v>110.68</v>
      </c>
      <c r="H522" s="6">
        <v>30.408999999999999</v>
      </c>
      <c r="I522" s="6">
        <v>204.17</v>
      </c>
      <c r="J522" s="6">
        <v>251.37</v>
      </c>
      <c r="K522" s="6">
        <v>0.23146</v>
      </c>
      <c r="L522" s="6">
        <v>32.130000000000003</v>
      </c>
      <c r="M522" s="6">
        <v>5.6030999999999997E-2</v>
      </c>
      <c r="N522" s="6">
        <v>2.8758000000000001E-4</v>
      </c>
      <c r="O522" s="6" t="s">
        <v>17</v>
      </c>
    </row>
    <row r="523" spans="1:15" ht="17" x14ac:dyDescent="0.35">
      <c r="A523" s="9">
        <v>123.12</v>
      </c>
      <c r="B523" s="11">
        <v>29.283999999999999</v>
      </c>
      <c r="C523" s="6">
        <v>16.914000000000001</v>
      </c>
      <c r="D523" s="6">
        <v>5.9121E-2</v>
      </c>
      <c r="E523" s="6">
        <v>-0.30658999999999997</v>
      </c>
      <c r="F523" s="6">
        <v>-0.13346</v>
      </c>
      <c r="G523" s="6">
        <v>110.72</v>
      </c>
      <c r="H523" s="6">
        <v>30.457000000000001</v>
      </c>
      <c r="I523" s="6">
        <v>206.21</v>
      </c>
      <c r="J523" s="6">
        <v>250.39</v>
      </c>
      <c r="K523" s="6">
        <v>0.23318</v>
      </c>
      <c r="L523" s="6">
        <v>32.037999999999997</v>
      </c>
      <c r="M523" s="6">
        <v>5.5987000000000002E-2</v>
      </c>
      <c r="N523" s="6">
        <v>2.8303999999999997E-4</v>
      </c>
      <c r="O523" s="6" t="s">
        <v>17</v>
      </c>
    </row>
    <row r="524" spans="1:15" ht="17" x14ac:dyDescent="0.35">
      <c r="A524" s="9">
        <v>123.16</v>
      </c>
      <c r="B524" s="11">
        <v>29.34</v>
      </c>
      <c r="C524" s="6">
        <v>16.885999999999999</v>
      </c>
      <c r="D524" s="6">
        <v>5.9219000000000001E-2</v>
      </c>
      <c r="E524" s="6">
        <v>-0.30175000000000002</v>
      </c>
      <c r="F524" s="6">
        <v>-0.128</v>
      </c>
      <c r="G524" s="6">
        <v>110.76</v>
      </c>
      <c r="H524" s="6">
        <v>30.506</v>
      </c>
      <c r="I524" s="6">
        <v>208.29</v>
      </c>
      <c r="J524" s="6">
        <v>249.4</v>
      </c>
      <c r="K524" s="6">
        <v>0.23491000000000001</v>
      </c>
      <c r="L524" s="6">
        <v>31.946999999999999</v>
      </c>
      <c r="M524" s="6">
        <v>5.5945000000000002E-2</v>
      </c>
      <c r="N524" s="6">
        <v>2.7850999999999999E-4</v>
      </c>
      <c r="O524" s="6" t="s">
        <v>17</v>
      </c>
    </row>
    <row r="525" spans="1:15" ht="17" x14ac:dyDescent="0.35">
      <c r="A525" s="9">
        <v>123.2</v>
      </c>
      <c r="B525" s="11">
        <v>29.396999999999998</v>
      </c>
      <c r="C525" s="6">
        <v>16.858000000000001</v>
      </c>
      <c r="D525" s="6">
        <v>5.9318000000000003E-2</v>
      </c>
      <c r="E525" s="6">
        <v>-0.2969</v>
      </c>
      <c r="F525" s="6">
        <v>-0.12252</v>
      </c>
      <c r="G525" s="6">
        <v>110.8</v>
      </c>
      <c r="H525" s="6">
        <v>30.556000000000001</v>
      </c>
      <c r="I525" s="6">
        <v>210.43</v>
      </c>
      <c r="J525" s="6">
        <v>248.41</v>
      </c>
      <c r="K525" s="6">
        <v>0.23666999999999999</v>
      </c>
      <c r="L525" s="6">
        <v>31.855</v>
      </c>
      <c r="M525" s="6">
        <v>5.5903000000000001E-2</v>
      </c>
      <c r="N525" s="6">
        <v>2.7399999999999999E-4</v>
      </c>
      <c r="O525" s="6" t="s">
        <v>17</v>
      </c>
    </row>
    <row r="526" spans="1:15" ht="17" x14ac:dyDescent="0.35">
      <c r="A526" s="9">
        <v>123.24</v>
      </c>
      <c r="B526" s="11">
        <v>29.452999999999999</v>
      </c>
      <c r="C526" s="6">
        <v>16.829999999999998</v>
      </c>
      <c r="D526" s="6">
        <v>5.9417999999999999E-2</v>
      </c>
      <c r="E526" s="6">
        <v>-0.29202</v>
      </c>
      <c r="F526" s="6">
        <v>-0.11702</v>
      </c>
      <c r="G526" s="6">
        <v>110.84</v>
      </c>
      <c r="H526" s="6">
        <v>30.606000000000002</v>
      </c>
      <c r="I526" s="6">
        <v>212.62</v>
      </c>
      <c r="J526" s="6">
        <v>247.42</v>
      </c>
      <c r="K526" s="6">
        <v>0.23844000000000001</v>
      </c>
      <c r="L526" s="6">
        <v>31.762</v>
      </c>
      <c r="M526" s="6">
        <v>5.5863000000000003E-2</v>
      </c>
      <c r="N526" s="6">
        <v>2.6951999999999998E-4</v>
      </c>
      <c r="O526" s="6" t="s">
        <v>17</v>
      </c>
    </row>
    <row r="527" spans="1:15" ht="17" x14ac:dyDescent="0.35">
      <c r="A527" s="9">
        <v>123.28</v>
      </c>
      <c r="B527" s="11">
        <v>29.509</v>
      </c>
      <c r="C527" s="6">
        <v>16.800999999999998</v>
      </c>
      <c r="D527" s="6">
        <v>5.9519000000000002E-2</v>
      </c>
      <c r="E527" s="6">
        <v>-0.28713</v>
      </c>
      <c r="F527" s="6">
        <v>-0.11149000000000001</v>
      </c>
      <c r="G527" s="6">
        <v>110.89</v>
      </c>
      <c r="H527" s="6">
        <v>30.658000000000001</v>
      </c>
      <c r="I527" s="6">
        <v>214.87</v>
      </c>
      <c r="J527" s="6">
        <v>246.42</v>
      </c>
      <c r="K527" s="6">
        <v>0.24024000000000001</v>
      </c>
      <c r="L527" s="6">
        <v>31.67</v>
      </c>
      <c r="M527" s="6">
        <v>5.5823999999999999E-2</v>
      </c>
      <c r="N527" s="6">
        <v>2.6506000000000001E-4</v>
      </c>
      <c r="O527" s="6" t="s">
        <v>17</v>
      </c>
    </row>
    <row r="528" spans="1:15" ht="17" x14ac:dyDescent="0.35">
      <c r="A528" s="9">
        <v>123.32</v>
      </c>
      <c r="B528" s="11">
        <v>29.565999999999999</v>
      </c>
      <c r="C528" s="6">
        <v>16.773</v>
      </c>
      <c r="D528" s="6">
        <v>5.9621E-2</v>
      </c>
      <c r="E528" s="6">
        <v>-0.28221000000000002</v>
      </c>
      <c r="F528" s="6">
        <v>-0.10594000000000001</v>
      </c>
      <c r="G528" s="6">
        <v>110.93</v>
      </c>
      <c r="H528" s="6">
        <v>30.71</v>
      </c>
      <c r="I528" s="6">
        <v>217.18</v>
      </c>
      <c r="J528" s="6">
        <v>245.42</v>
      </c>
      <c r="K528" s="6">
        <v>0.24204999999999999</v>
      </c>
      <c r="L528" s="6">
        <v>31.577000000000002</v>
      </c>
      <c r="M528" s="6">
        <v>5.5786000000000002E-2</v>
      </c>
      <c r="N528" s="6">
        <v>2.6061999999999998E-4</v>
      </c>
      <c r="O528" s="6" t="s">
        <v>17</v>
      </c>
    </row>
    <row r="529" spans="1:15" ht="17" x14ac:dyDescent="0.35">
      <c r="A529" s="9">
        <v>123.35</v>
      </c>
      <c r="B529" s="11">
        <v>29.622</v>
      </c>
      <c r="C529" s="6">
        <v>16.744</v>
      </c>
      <c r="D529" s="6">
        <v>5.9723999999999999E-2</v>
      </c>
      <c r="E529" s="6">
        <v>-0.27728000000000003</v>
      </c>
      <c r="F529" s="6">
        <v>-0.10037</v>
      </c>
      <c r="G529" s="6">
        <v>110.97</v>
      </c>
      <c r="H529" s="6">
        <v>30.763000000000002</v>
      </c>
      <c r="I529" s="6">
        <v>219.55</v>
      </c>
      <c r="J529" s="6">
        <v>244.42</v>
      </c>
      <c r="K529" s="6">
        <v>0.24389</v>
      </c>
      <c r="L529" s="6">
        <v>31.484000000000002</v>
      </c>
      <c r="M529" s="6">
        <v>5.5750000000000001E-2</v>
      </c>
      <c r="N529" s="6">
        <v>2.5619999999999999E-4</v>
      </c>
      <c r="O529" s="6" t="s">
        <v>17</v>
      </c>
    </row>
    <row r="530" spans="1:15" ht="17" x14ac:dyDescent="0.35">
      <c r="A530" s="9">
        <v>123.39</v>
      </c>
      <c r="B530" s="11">
        <v>29.678000000000001</v>
      </c>
      <c r="C530" s="6">
        <v>16.715</v>
      </c>
      <c r="D530" s="6">
        <v>5.9827999999999999E-2</v>
      </c>
      <c r="E530" s="6">
        <v>-0.27233000000000002</v>
      </c>
      <c r="F530" s="6">
        <v>-9.4768000000000005E-2</v>
      </c>
      <c r="G530" s="6">
        <v>111.01</v>
      </c>
      <c r="H530" s="6">
        <v>30.818000000000001</v>
      </c>
      <c r="I530" s="6">
        <v>221.99</v>
      </c>
      <c r="J530" s="6">
        <v>243.41</v>
      </c>
      <c r="K530" s="6">
        <v>0.24573999999999999</v>
      </c>
      <c r="L530" s="6">
        <v>31.39</v>
      </c>
      <c r="M530" s="6">
        <v>5.5715000000000001E-2</v>
      </c>
      <c r="N530" s="6">
        <v>2.5180999999999999E-4</v>
      </c>
      <c r="O530" s="6" t="s">
        <v>17</v>
      </c>
    </row>
    <row r="531" spans="1:15" ht="17" x14ac:dyDescent="0.35">
      <c r="A531" s="9">
        <v>123.43</v>
      </c>
      <c r="B531" s="11">
        <v>29.734000000000002</v>
      </c>
      <c r="C531" s="6">
        <v>16.684999999999999</v>
      </c>
      <c r="D531" s="6">
        <v>5.9933E-2</v>
      </c>
      <c r="E531" s="6">
        <v>-0.26734999999999998</v>
      </c>
      <c r="F531" s="6">
        <v>-8.9144000000000001E-2</v>
      </c>
      <c r="G531" s="6">
        <v>111.06</v>
      </c>
      <c r="H531" s="6">
        <v>30.873000000000001</v>
      </c>
      <c r="I531" s="6">
        <v>224.49</v>
      </c>
      <c r="J531" s="6">
        <v>242.39</v>
      </c>
      <c r="K531" s="6">
        <v>0.24762000000000001</v>
      </c>
      <c r="L531" s="6">
        <v>31.295999999999999</v>
      </c>
      <c r="M531" s="6">
        <v>5.5681000000000001E-2</v>
      </c>
      <c r="N531" s="6">
        <v>2.4742999999999998E-4</v>
      </c>
      <c r="O531" s="6" t="s">
        <v>17</v>
      </c>
    </row>
    <row r="532" spans="1:15" ht="17" x14ac:dyDescent="0.35">
      <c r="A532" s="9">
        <v>123.47</v>
      </c>
      <c r="B532" s="11">
        <v>29.791</v>
      </c>
      <c r="C532" s="6">
        <v>16.655999999999999</v>
      </c>
      <c r="D532" s="6">
        <v>6.0039000000000002E-2</v>
      </c>
      <c r="E532" s="6">
        <v>-0.26235000000000003</v>
      </c>
      <c r="F532" s="6">
        <v>-8.3493999999999999E-2</v>
      </c>
      <c r="G532" s="6">
        <v>111.1</v>
      </c>
      <c r="H532" s="6">
        <v>30.93</v>
      </c>
      <c r="I532" s="6">
        <v>227.06</v>
      </c>
      <c r="J532" s="6">
        <v>241.38</v>
      </c>
      <c r="K532" s="6">
        <v>0.24951999999999999</v>
      </c>
      <c r="L532" s="6">
        <v>31.202000000000002</v>
      </c>
      <c r="M532" s="6">
        <v>5.5648000000000003E-2</v>
      </c>
      <c r="N532" s="6">
        <v>2.4308000000000001E-4</v>
      </c>
      <c r="O532" s="6" t="s">
        <v>17</v>
      </c>
    </row>
    <row r="533" spans="1:15" ht="17" x14ac:dyDescent="0.35">
      <c r="A533" s="9">
        <v>123.51</v>
      </c>
      <c r="B533" s="11">
        <v>29.847000000000001</v>
      </c>
      <c r="C533" s="6">
        <v>16.626000000000001</v>
      </c>
      <c r="D533" s="6">
        <v>6.0145999999999998E-2</v>
      </c>
      <c r="E533" s="6">
        <v>-0.25733</v>
      </c>
      <c r="F533" s="6">
        <v>-7.7816999999999997E-2</v>
      </c>
      <c r="G533" s="6">
        <v>111.14</v>
      </c>
      <c r="H533" s="6">
        <v>30.986999999999998</v>
      </c>
      <c r="I533" s="6">
        <v>229.7</v>
      </c>
      <c r="J533" s="6">
        <v>240.36</v>
      </c>
      <c r="K533" s="6">
        <v>0.25144</v>
      </c>
      <c r="L533" s="6">
        <v>31.108000000000001</v>
      </c>
      <c r="M533" s="6">
        <v>5.5617E-2</v>
      </c>
      <c r="N533" s="6">
        <v>2.3875E-4</v>
      </c>
      <c r="O533" s="6" t="s">
        <v>17</v>
      </c>
    </row>
    <row r="534" spans="1:15" ht="17" x14ac:dyDescent="0.35">
      <c r="A534" s="9">
        <v>123.55</v>
      </c>
      <c r="B534" s="11">
        <v>29.902999999999999</v>
      </c>
      <c r="C534" s="6">
        <v>16.596</v>
      </c>
      <c r="D534" s="6">
        <v>6.0254000000000002E-2</v>
      </c>
      <c r="E534" s="6">
        <v>-0.25229000000000001</v>
      </c>
      <c r="F534" s="6">
        <v>-7.2111999999999996E-2</v>
      </c>
      <c r="G534" s="6">
        <v>111.19</v>
      </c>
      <c r="H534" s="6">
        <v>31.045999999999999</v>
      </c>
      <c r="I534" s="6">
        <v>232.42</v>
      </c>
      <c r="J534" s="6">
        <v>239.33</v>
      </c>
      <c r="K534" s="6">
        <v>0.25339</v>
      </c>
      <c r="L534" s="6">
        <v>31.013000000000002</v>
      </c>
      <c r="M534" s="6">
        <v>5.5587999999999999E-2</v>
      </c>
      <c r="N534" s="6">
        <v>2.3444000000000001E-4</v>
      </c>
      <c r="O534" s="6" t="s">
        <v>17</v>
      </c>
    </row>
    <row r="535" spans="1:15" ht="17" x14ac:dyDescent="0.35">
      <c r="A535" s="9">
        <v>123.59</v>
      </c>
      <c r="B535" s="11">
        <v>29.96</v>
      </c>
      <c r="C535" s="6">
        <v>16.565999999999999</v>
      </c>
      <c r="D535" s="6">
        <v>6.0364000000000001E-2</v>
      </c>
      <c r="E535" s="6">
        <v>-0.24723000000000001</v>
      </c>
      <c r="F535" s="6">
        <v>-6.6379999999999995E-2</v>
      </c>
      <c r="G535" s="6">
        <v>111.23</v>
      </c>
      <c r="H535" s="6">
        <v>31.106000000000002</v>
      </c>
      <c r="I535" s="6">
        <v>235.22</v>
      </c>
      <c r="J535" s="6">
        <v>238.3</v>
      </c>
      <c r="K535" s="6">
        <v>0.25535999999999998</v>
      </c>
      <c r="L535" s="6">
        <v>30.917999999999999</v>
      </c>
      <c r="M535" s="6">
        <v>5.5559999999999998E-2</v>
      </c>
      <c r="N535" s="6">
        <v>2.3016000000000001E-4</v>
      </c>
      <c r="O535" s="6" t="s">
        <v>17</v>
      </c>
    </row>
    <row r="536" spans="1:15" ht="17" x14ac:dyDescent="0.35">
      <c r="A536" s="9">
        <v>123.63</v>
      </c>
      <c r="B536" s="11">
        <v>30.015999999999998</v>
      </c>
      <c r="C536" s="6">
        <v>16.536000000000001</v>
      </c>
      <c r="D536" s="6">
        <v>6.0474E-2</v>
      </c>
      <c r="E536" s="6">
        <v>-0.24213999999999999</v>
      </c>
      <c r="F536" s="6">
        <v>-6.0618999999999999E-2</v>
      </c>
      <c r="G536" s="6">
        <v>111.27</v>
      </c>
      <c r="H536" s="6">
        <v>31.167000000000002</v>
      </c>
      <c r="I536" s="6">
        <v>238.11</v>
      </c>
      <c r="J536" s="6">
        <v>237.27</v>
      </c>
      <c r="K536" s="6">
        <v>0.25735000000000002</v>
      </c>
      <c r="L536" s="6">
        <v>30.821999999999999</v>
      </c>
      <c r="M536" s="6">
        <v>5.5534E-2</v>
      </c>
      <c r="N536" s="6">
        <v>2.2588999999999999E-4</v>
      </c>
      <c r="O536" s="6" t="s">
        <v>17</v>
      </c>
    </row>
    <row r="537" spans="1:15" ht="17" x14ac:dyDescent="0.35">
      <c r="A537" s="9">
        <v>123.67</v>
      </c>
      <c r="B537" s="11">
        <v>30.071999999999999</v>
      </c>
      <c r="C537" s="6">
        <v>16.504999999999999</v>
      </c>
      <c r="D537" s="6">
        <v>6.0586000000000001E-2</v>
      </c>
      <c r="E537" s="6">
        <v>-0.23702000000000001</v>
      </c>
      <c r="F537" s="6">
        <v>-5.4828000000000002E-2</v>
      </c>
      <c r="G537" s="6">
        <v>111.32</v>
      </c>
      <c r="H537" s="6">
        <v>31.228999999999999</v>
      </c>
      <c r="I537" s="6">
        <v>241.07</v>
      </c>
      <c r="J537" s="6">
        <v>236.23</v>
      </c>
      <c r="K537" s="6">
        <v>0.25935999999999998</v>
      </c>
      <c r="L537" s="6">
        <v>30.725999999999999</v>
      </c>
      <c r="M537" s="6">
        <v>5.5509000000000003E-2</v>
      </c>
      <c r="N537" s="6">
        <v>2.2164999999999999E-4</v>
      </c>
      <c r="O537" s="6" t="s">
        <v>17</v>
      </c>
    </row>
    <row r="538" spans="1:15" ht="17" x14ac:dyDescent="0.35">
      <c r="A538" s="9">
        <v>123.7</v>
      </c>
      <c r="B538" s="11">
        <v>30.128</v>
      </c>
      <c r="C538" s="6">
        <v>16.475000000000001</v>
      </c>
      <c r="D538" s="6">
        <v>6.0699000000000003E-2</v>
      </c>
      <c r="E538" s="6">
        <v>-0.23188</v>
      </c>
      <c r="F538" s="6">
        <v>-4.9007000000000002E-2</v>
      </c>
      <c r="G538" s="6">
        <v>111.36</v>
      </c>
      <c r="H538" s="6">
        <v>31.292000000000002</v>
      </c>
      <c r="I538" s="6">
        <v>244.13</v>
      </c>
      <c r="J538" s="6">
        <v>235.19</v>
      </c>
      <c r="K538" s="6">
        <v>0.26140999999999998</v>
      </c>
      <c r="L538" s="6">
        <v>30.63</v>
      </c>
      <c r="M538" s="6">
        <v>5.5486000000000001E-2</v>
      </c>
      <c r="N538" s="6">
        <v>2.1744000000000001E-4</v>
      </c>
      <c r="O538" s="6" t="s">
        <v>17</v>
      </c>
    </row>
    <row r="539" spans="1:15" ht="17" x14ac:dyDescent="0.35">
      <c r="A539" s="9">
        <v>123.74</v>
      </c>
      <c r="B539" s="11">
        <v>30.184999999999999</v>
      </c>
      <c r="C539" s="6">
        <v>16.443999999999999</v>
      </c>
      <c r="D539" s="6">
        <v>6.0814E-2</v>
      </c>
      <c r="E539" s="6">
        <v>-0.22672</v>
      </c>
      <c r="F539" s="6">
        <v>-4.3154999999999999E-2</v>
      </c>
      <c r="G539" s="6">
        <v>111.41</v>
      </c>
      <c r="H539" s="6">
        <v>31.356999999999999</v>
      </c>
      <c r="I539" s="6">
        <v>247.29</v>
      </c>
      <c r="J539" s="6">
        <v>234.14</v>
      </c>
      <c r="K539" s="6">
        <v>0.26346999999999998</v>
      </c>
      <c r="L539" s="6">
        <v>30.533000000000001</v>
      </c>
      <c r="M539" s="6">
        <v>5.5465E-2</v>
      </c>
      <c r="N539" s="6">
        <v>2.1324000000000001E-4</v>
      </c>
      <c r="O539" s="6" t="s">
        <v>17</v>
      </c>
    </row>
    <row r="540" spans="1:15" ht="17" x14ac:dyDescent="0.35">
      <c r="A540" s="9">
        <v>123.78</v>
      </c>
      <c r="B540" s="11">
        <v>30.241</v>
      </c>
      <c r="C540" s="6">
        <v>16.411999999999999</v>
      </c>
      <c r="D540" s="6">
        <v>6.0928999999999997E-2</v>
      </c>
      <c r="E540" s="6">
        <v>-0.22153</v>
      </c>
      <c r="F540" s="6">
        <v>-3.7270999999999999E-2</v>
      </c>
      <c r="G540" s="6">
        <v>111.45</v>
      </c>
      <c r="H540" s="6">
        <v>31.422999999999998</v>
      </c>
      <c r="I540" s="6">
        <v>250.54</v>
      </c>
      <c r="J540" s="6">
        <v>233.09</v>
      </c>
      <c r="K540" s="6">
        <v>0.26556999999999997</v>
      </c>
      <c r="L540" s="6">
        <v>30.436</v>
      </c>
      <c r="M540" s="6">
        <v>5.5445000000000001E-2</v>
      </c>
      <c r="N540" s="6">
        <v>2.0907E-4</v>
      </c>
      <c r="O540" s="6" t="s">
        <v>17</v>
      </c>
    </row>
    <row r="541" spans="1:15" ht="17" x14ac:dyDescent="0.35">
      <c r="A541" s="9">
        <v>123.82</v>
      </c>
      <c r="B541" s="11">
        <v>30.297000000000001</v>
      </c>
      <c r="C541" s="6">
        <v>16.381</v>
      </c>
      <c r="D541" s="6">
        <v>6.1046000000000003E-2</v>
      </c>
      <c r="E541" s="6">
        <v>-0.21631</v>
      </c>
      <c r="F541" s="6">
        <v>-3.1354E-2</v>
      </c>
      <c r="G541" s="6">
        <v>111.5</v>
      </c>
      <c r="H541" s="6">
        <v>31.49</v>
      </c>
      <c r="I541" s="6">
        <v>253.89</v>
      </c>
      <c r="J541" s="6">
        <v>232.03</v>
      </c>
      <c r="K541" s="6">
        <v>0.26768999999999998</v>
      </c>
      <c r="L541" s="6">
        <v>30.338000000000001</v>
      </c>
      <c r="M541" s="6">
        <v>5.5427999999999998E-2</v>
      </c>
      <c r="N541" s="6">
        <v>2.0492000000000001E-4</v>
      </c>
      <c r="O541" s="6" t="s">
        <v>17</v>
      </c>
    </row>
    <row r="542" spans="1:15" ht="17" x14ac:dyDescent="0.35">
      <c r="A542" s="9">
        <v>123.86</v>
      </c>
      <c r="B542" s="11">
        <v>30.353999999999999</v>
      </c>
      <c r="C542" s="6">
        <v>16.349</v>
      </c>
      <c r="D542" s="6">
        <v>6.1164999999999997E-2</v>
      </c>
      <c r="E542" s="6">
        <v>-0.21106</v>
      </c>
      <c r="F542" s="6">
        <v>-2.5403999999999999E-2</v>
      </c>
      <c r="G542" s="6">
        <v>111.54</v>
      </c>
      <c r="H542" s="6">
        <v>31.559000000000001</v>
      </c>
      <c r="I542" s="6">
        <v>257.36</v>
      </c>
      <c r="J542" s="6">
        <v>230.97</v>
      </c>
      <c r="K542" s="6">
        <v>0.26983000000000001</v>
      </c>
      <c r="L542" s="6">
        <v>30.24</v>
      </c>
      <c r="M542" s="6">
        <v>5.5412000000000003E-2</v>
      </c>
      <c r="N542" s="6">
        <v>2.0079000000000001E-4</v>
      </c>
      <c r="O542" s="6" t="s">
        <v>17</v>
      </c>
    </row>
    <row r="543" spans="1:15" ht="17" x14ac:dyDescent="0.35">
      <c r="A543" s="9">
        <v>123.9</v>
      </c>
      <c r="B543" s="11">
        <v>30.41</v>
      </c>
      <c r="C543" s="6">
        <v>16.317</v>
      </c>
      <c r="D543" s="6">
        <v>6.1284999999999999E-2</v>
      </c>
      <c r="E543" s="6">
        <v>-0.20579</v>
      </c>
      <c r="F543" s="6">
        <v>-1.9418000000000001E-2</v>
      </c>
      <c r="G543" s="6">
        <v>111.59</v>
      </c>
      <c r="H543" s="6">
        <v>31.629000000000001</v>
      </c>
      <c r="I543" s="6">
        <v>260.94</v>
      </c>
      <c r="J543" s="6">
        <v>229.9</v>
      </c>
      <c r="K543" s="6">
        <v>0.27200999999999997</v>
      </c>
      <c r="L543" s="6">
        <v>30.140999999999998</v>
      </c>
      <c r="M543" s="6">
        <v>5.5398999999999997E-2</v>
      </c>
      <c r="N543" s="6">
        <v>1.9668999999999999E-4</v>
      </c>
      <c r="O543" s="6" t="s">
        <v>17</v>
      </c>
    </row>
    <row r="544" spans="1:15" ht="17" x14ac:dyDescent="0.35">
      <c r="A544" s="9">
        <v>123.94</v>
      </c>
      <c r="B544" s="11">
        <v>30.466000000000001</v>
      </c>
      <c r="C544" s="6">
        <v>16.285</v>
      </c>
      <c r="D544" s="6">
        <v>6.1406000000000002E-2</v>
      </c>
      <c r="E544" s="6">
        <v>-0.20047999999999999</v>
      </c>
      <c r="F544" s="6">
        <v>-1.3396999999999999E-2</v>
      </c>
      <c r="G544" s="6">
        <v>111.63</v>
      </c>
      <c r="H544" s="6">
        <v>31.701000000000001</v>
      </c>
      <c r="I544" s="6">
        <v>264.63</v>
      </c>
      <c r="J544" s="6">
        <v>228.83</v>
      </c>
      <c r="K544" s="6">
        <v>0.27421000000000001</v>
      </c>
      <c r="L544" s="6">
        <v>30.042000000000002</v>
      </c>
      <c r="M544" s="6">
        <v>5.5386999999999999E-2</v>
      </c>
      <c r="N544" s="6">
        <v>1.9260999999999999E-4</v>
      </c>
      <c r="O544" s="6" t="s">
        <v>17</v>
      </c>
    </row>
    <row r="545" spans="1:15" ht="17" x14ac:dyDescent="0.35">
      <c r="A545" s="9">
        <v>123.97</v>
      </c>
      <c r="B545" s="11">
        <v>30.523</v>
      </c>
      <c r="C545" s="6">
        <v>16.251999999999999</v>
      </c>
      <c r="D545" s="6">
        <v>6.1529E-2</v>
      </c>
      <c r="E545" s="6">
        <v>-0.19514000000000001</v>
      </c>
      <c r="F545" s="6">
        <v>-7.3388000000000004E-3</v>
      </c>
      <c r="G545" s="6">
        <v>111.68</v>
      </c>
      <c r="H545" s="6">
        <v>31.774000000000001</v>
      </c>
      <c r="I545" s="6">
        <v>268.45999999999998</v>
      </c>
      <c r="J545" s="6">
        <v>227.75</v>
      </c>
      <c r="K545" s="6">
        <v>0.27644999999999997</v>
      </c>
      <c r="L545" s="6">
        <v>29.943000000000001</v>
      </c>
      <c r="M545" s="6">
        <v>5.5377999999999997E-2</v>
      </c>
      <c r="N545" s="6">
        <v>1.8855E-4</v>
      </c>
      <c r="O545" s="6" t="s">
        <v>17</v>
      </c>
    </row>
    <row r="546" spans="1:15" ht="17" x14ac:dyDescent="0.35">
      <c r="A546" s="9">
        <v>124.01</v>
      </c>
      <c r="B546" s="11">
        <v>30.579000000000001</v>
      </c>
      <c r="C546" s="6">
        <v>16.22</v>
      </c>
      <c r="D546" s="6">
        <v>6.1654E-2</v>
      </c>
      <c r="E546" s="6">
        <v>-0.18976999999999999</v>
      </c>
      <c r="F546" s="6">
        <v>-1.2428999999999999E-3</v>
      </c>
      <c r="G546" s="6">
        <v>111.72</v>
      </c>
      <c r="H546" s="6">
        <v>31.849</v>
      </c>
      <c r="I546" s="6">
        <v>272.41000000000003</v>
      </c>
      <c r="J546" s="6">
        <v>226.67</v>
      </c>
      <c r="K546" s="6">
        <v>0.27871000000000001</v>
      </c>
      <c r="L546" s="6">
        <v>29.843</v>
      </c>
      <c r="M546" s="6">
        <v>5.5370000000000003E-2</v>
      </c>
      <c r="N546" s="6">
        <v>1.8452E-4</v>
      </c>
      <c r="O546" s="6" t="s">
        <v>17</v>
      </c>
    </row>
    <row r="547" spans="1:15" ht="17" x14ac:dyDescent="0.35">
      <c r="A547" s="9">
        <v>124.05</v>
      </c>
      <c r="B547" s="11">
        <v>30.635000000000002</v>
      </c>
      <c r="C547" s="6">
        <v>16.186</v>
      </c>
      <c r="D547" s="6">
        <v>6.1780000000000002E-2</v>
      </c>
      <c r="E547" s="6">
        <v>-0.18437000000000001</v>
      </c>
      <c r="F547" s="6">
        <v>4.8919000000000002E-3</v>
      </c>
      <c r="G547" s="6">
        <v>111.77</v>
      </c>
      <c r="H547" s="6">
        <v>31.925999999999998</v>
      </c>
      <c r="I547" s="6">
        <v>276.51</v>
      </c>
      <c r="J547" s="6">
        <v>225.58</v>
      </c>
      <c r="K547" s="6">
        <v>0.28100999999999998</v>
      </c>
      <c r="L547" s="6">
        <v>29.742000000000001</v>
      </c>
      <c r="M547" s="6">
        <v>5.5364999999999998E-2</v>
      </c>
      <c r="N547" s="6">
        <v>1.8050999999999999E-4</v>
      </c>
      <c r="O547" s="6" t="s">
        <v>17</v>
      </c>
    </row>
    <row r="548" spans="1:15" ht="17" x14ac:dyDescent="0.35">
      <c r="A548" s="9">
        <v>124.09</v>
      </c>
      <c r="B548" s="11">
        <v>30.690999999999999</v>
      </c>
      <c r="C548" s="6">
        <v>16.152999999999999</v>
      </c>
      <c r="D548" s="6">
        <v>6.1907999999999998E-2</v>
      </c>
      <c r="E548" s="6">
        <v>-0.17893999999999999</v>
      </c>
      <c r="F548" s="6">
        <v>1.1067E-2</v>
      </c>
      <c r="G548" s="6">
        <v>111.82</v>
      </c>
      <c r="H548" s="6">
        <v>32.003999999999998</v>
      </c>
      <c r="I548" s="6">
        <v>280.75</v>
      </c>
      <c r="J548" s="6">
        <v>224.49</v>
      </c>
      <c r="K548" s="6">
        <v>0.28333000000000003</v>
      </c>
      <c r="L548" s="6">
        <v>29.640999999999998</v>
      </c>
      <c r="M548" s="6">
        <v>5.5363000000000002E-2</v>
      </c>
      <c r="N548" s="6">
        <v>1.7652E-4</v>
      </c>
      <c r="O548" s="6" t="s">
        <v>17</v>
      </c>
    </row>
    <row r="549" spans="1:15" ht="17" x14ac:dyDescent="0.35">
      <c r="A549" s="9">
        <v>124.13</v>
      </c>
      <c r="B549" s="11">
        <v>30.748000000000001</v>
      </c>
      <c r="C549" s="6">
        <v>16.119</v>
      </c>
      <c r="D549" s="6">
        <v>6.2037000000000002E-2</v>
      </c>
      <c r="E549" s="6">
        <v>-0.17347000000000001</v>
      </c>
      <c r="F549" s="6">
        <v>1.7283E-2</v>
      </c>
      <c r="G549" s="6">
        <v>111.87</v>
      </c>
      <c r="H549" s="6">
        <v>32.084000000000003</v>
      </c>
      <c r="I549" s="6">
        <v>285.14999999999998</v>
      </c>
      <c r="J549" s="6">
        <v>223.39</v>
      </c>
      <c r="K549" s="6">
        <v>0.28569</v>
      </c>
      <c r="L549" s="6">
        <v>29.54</v>
      </c>
      <c r="M549" s="6">
        <v>5.5363000000000002E-2</v>
      </c>
      <c r="N549" s="6">
        <v>1.7255999999999999E-4</v>
      </c>
      <c r="O549" s="6" t="s">
        <v>17</v>
      </c>
    </row>
    <row r="550" spans="1:15" ht="17" x14ac:dyDescent="0.35">
      <c r="A550" s="9">
        <v>124.16</v>
      </c>
      <c r="B550" s="11">
        <v>30.803999999999998</v>
      </c>
      <c r="C550" s="6">
        <v>16.085000000000001</v>
      </c>
      <c r="D550" s="6">
        <v>6.2168000000000001E-2</v>
      </c>
      <c r="E550" s="6">
        <v>-0.16796</v>
      </c>
      <c r="F550" s="6">
        <v>2.3543000000000001E-2</v>
      </c>
      <c r="G550" s="6">
        <v>111.91</v>
      </c>
      <c r="H550" s="6">
        <v>32.165999999999997</v>
      </c>
      <c r="I550" s="6">
        <v>289.70999999999998</v>
      </c>
      <c r="J550" s="6">
        <v>222.28</v>
      </c>
      <c r="K550" s="6">
        <v>0.28808</v>
      </c>
      <c r="L550" s="6">
        <v>29.437000000000001</v>
      </c>
      <c r="M550" s="6">
        <v>5.5364999999999998E-2</v>
      </c>
      <c r="N550" s="6">
        <v>1.6861999999999999E-4</v>
      </c>
      <c r="O550" s="6" t="s">
        <v>17</v>
      </c>
    </row>
    <row r="551" spans="1:15" ht="17" x14ac:dyDescent="0.35">
      <c r="A551" s="9">
        <v>124.2</v>
      </c>
      <c r="B551" s="11">
        <v>30.86</v>
      </c>
      <c r="C551" s="6">
        <v>16.050999999999998</v>
      </c>
      <c r="D551" s="6">
        <v>6.2301000000000002E-2</v>
      </c>
      <c r="E551" s="6">
        <v>-0.16242000000000001</v>
      </c>
      <c r="F551" s="6">
        <v>2.9846000000000001E-2</v>
      </c>
      <c r="G551" s="6">
        <v>111.96</v>
      </c>
      <c r="H551" s="6">
        <v>32.25</v>
      </c>
      <c r="I551" s="6">
        <v>294.44</v>
      </c>
      <c r="J551" s="6">
        <v>221.17</v>
      </c>
      <c r="K551" s="6">
        <v>0.29050999999999999</v>
      </c>
      <c r="L551" s="6">
        <v>29.334</v>
      </c>
      <c r="M551" s="6">
        <v>5.5370999999999997E-2</v>
      </c>
      <c r="N551" s="6">
        <v>1.6470999999999999E-4</v>
      </c>
      <c r="O551" s="6" t="s">
        <v>17</v>
      </c>
    </row>
    <row r="552" spans="1:15" ht="17" x14ac:dyDescent="0.35">
      <c r="A552" s="9">
        <v>124.24</v>
      </c>
      <c r="B552" s="11">
        <v>30.917000000000002</v>
      </c>
      <c r="C552" s="6">
        <v>16.015999999999998</v>
      </c>
      <c r="D552" s="6">
        <v>6.2435999999999998E-2</v>
      </c>
      <c r="E552" s="6">
        <v>-0.15684000000000001</v>
      </c>
      <c r="F552" s="6">
        <v>3.6194999999999998E-2</v>
      </c>
      <c r="G552" s="6">
        <v>112.01</v>
      </c>
      <c r="H552" s="6">
        <v>32.335000000000001</v>
      </c>
      <c r="I552" s="6">
        <v>299.35000000000002</v>
      </c>
      <c r="J552" s="6">
        <v>220.05</v>
      </c>
      <c r="K552" s="6">
        <v>0.29297000000000001</v>
      </c>
      <c r="L552" s="6">
        <v>29.231000000000002</v>
      </c>
      <c r="M552" s="6">
        <v>5.5378999999999998E-2</v>
      </c>
      <c r="N552" s="6">
        <v>1.6082E-4</v>
      </c>
      <c r="O552" s="6" t="s">
        <v>17</v>
      </c>
    </row>
    <row r="553" spans="1:15" ht="17" x14ac:dyDescent="0.35">
      <c r="A553" s="9">
        <v>124.28</v>
      </c>
      <c r="B553" s="11">
        <v>30.972999999999999</v>
      </c>
      <c r="C553" s="6">
        <v>15.981</v>
      </c>
      <c r="D553" s="6">
        <v>6.2573000000000004E-2</v>
      </c>
      <c r="E553" s="6">
        <v>-0.15121999999999999</v>
      </c>
      <c r="F553" s="6">
        <v>4.2590000000000003E-2</v>
      </c>
      <c r="G553" s="6">
        <v>112.06</v>
      </c>
      <c r="H553" s="6">
        <v>32.423000000000002</v>
      </c>
      <c r="I553" s="6">
        <v>304.45999999999998</v>
      </c>
      <c r="J553" s="6">
        <v>218.93</v>
      </c>
      <c r="K553" s="6">
        <v>0.29547000000000001</v>
      </c>
      <c r="L553" s="6">
        <v>29.126999999999999</v>
      </c>
      <c r="M553" s="6">
        <v>5.5390000000000002E-2</v>
      </c>
      <c r="N553" s="6">
        <v>1.5695999999999999E-4</v>
      </c>
      <c r="O553" s="6" t="s">
        <v>17</v>
      </c>
    </row>
    <row r="554" spans="1:15" ht="17" x14ac:dyDescent="0.35">
      <c r="A554" s="9">
        <v>124.31</v>
      </c>
      <c r="B554" s="11">
        <v>31.029</v>
      </c>
      <c r="C554" s="6">
        <v>15.946</v>
      </c>
      <c r="D554" s="6">
        <v>6.2712000000000004E-2</v>
      </c>
      <c r="E554" s="6">
        <v>-0.14555999999999999</v>
      </c>
      <c r="F554" s="6">
        <v>4.9034000000000001E-2</v>
      </c>
      <c r="G554" s="6">
        <v>112.11</v>
      </c>
      <c r="H554" s="6">
        <v>32.512999999999998</v>
      </c>
      <c r="I554" s="6">
        <v>309.77999999999997</v>
      </c>
      <c r="J554" s="6">
        <v>217.8</v>
      </c>
      <c r="K554" s="6">
        <v>0.29799999999999999</v>
      </c>
      <c r="L554" s="6">
        <v>29.021999999999998</v>
      </c>
      <c r="M554" s="6">
        <v>5.5403000000000001E-2</v>
      </c>
      <c r="N554" s="6">
        <v>1.5312E-4</v>
      </c>
      <c r="O554" s="6" t="s">
        <v>17</v>
      </c>
    </row>
    <row r="555" spans="1:15" ht="17" x14ac:dyDescent="0.35">
      <c r="A555" s="9">
        <v>124.35</v>
      </c>
      <c r="B555" s="11">
        <v>31.085000000000001</v>
      </c>
      <c r="C555" s="6">
        <v>15.91</v>
      </c>
      <c r="D555" s="6">
        <v>6.2853000000000006E-2</v>
      </c>
      <c r="E555" s="6">
        <v>-0.13985</v>
      </c>
      <c r="F555" s="6">
        <v>5.5529000000000002E-2</v>
      </c>
      <c r="G555" s="6">
        <v>112.16</v>
      </c>
      <c r="H555" s="6">
        <v>32.604999999999997</v>
      </c>
      <c r="I555" s="6">
        <v>315.31</v>
      </c>
      <c r="J555" s="6">
        <v>216.66</v>
      </c>
      <c r="K555" s="6">
        <v>0.30058000000000001</v>
      </c>
      <c r="L555" s="6">
        <v>28.917000000000002</v>
      </c>
      <c r="M555" s="6">
        <v>5.5420999999999998E-2</v>
      </c>
      <c r="N555" s="6">
        <v>1.493E-4</v>
      </c>
      <c r="O555" s="6" t="s">
        <v>17</v>
      </c>
    </row>
    <row r="556" spans="1:15" ht="17" x14ac:dyDescent="0.35">
      <c r="A556" s="9">
        <v>124.39</v>
      </c>
      <c r="B556" s="11">
        <v>31.141999999999999</v>
      </c>
      <c r="C556" s="6">
        <v>15.874000000000001</v>
      </c>
      <c r="D556" s="6">
        <v>6.2995999999999996E-2</v>
      </c>
      <c r="E556" s="6">
        <v>-0.13411000000000001</v>
      </c>
      <c r="F556" s="6">
        <v>6.2074999999999998E-2</v>
      </c>
      <c r="G556" s="6">
        <v>112.21</v>
      </c>
      <c r="H556" s="6">
        <v>32.698999999999998</v>
      </c>
      <c r="I556" s="6">
        <v>321.07</v>
      </c>
      <c r="J556" s="6">
        <v>215.52</v>
      </c>
      <c r="K556" s="6">
        <v>0.30319000000000002</v>
      </c>
      <c r="L556" s="6">
        <v>28.811</v>
      </c>
      <c r="M556" s="6">
        <v>5.5440999999999997E-2</v>
      </c>
      <c r="N556" s="6">
        <v>1.4551000000000001E-4</v>
      </c>
      <c r="O556" s="6" t="s">
        <v>17</v>
      </c>
    </row>
    <row r="557" spans="1:15" ht="17" x14ac:dyDescent="0.35">
      <c r="A557" s="9">
        <v>124.43</v>
      </c>
      <c r="B557" s="11">
        <v>31.198</v>
      </c>
      <c r="C557" s="6">
        <v>15.837</v>
      </c>
      <c r="D557" s="6">
        <v>6.3142000000000004E-2</v>
      </c>
      <c r="E557" s="6">
        <v>-0.12831000000000001</v>
      </c>
      <c r="F557" s="6">
        <v>6.8675E-2</v>
      </c>
      <c r="G557" s="6">
        <v>112.26</v>
      </c>
      <c r="H557" s="6">
        <v>32.795999999999999</v>
      </c>
      <c r="I557" s="6">
        <v>327.07</v>
      </c>
      <c r="J557" s="6">
        <v>214.37</v>
      </c>
      <c r="K557" s="6">
        <v>0.30584</v>
      </c>
      <c r="L557" s="6">
        <v>28.704000000000001</v>
      </c>
      <c r="M557" s="6">
        <v>5.5465E-2</v>
      </c>
      <c r="N557" s="6">
        <v>1.4175E-4</v>
      </c>
      <c r="O557" s="6" t="s">
        <v>17</v>
      </c>
    </row>
    <row r="558" spans="1:15" ht="17" x14ac:dyDescent="0.35">
      <c r="A558" s="9">
        <v>124.46</v>
      </c>
      <c r="B558" s="11">
        <v>31.254000000000001</v>
      </c>
      <c r="C558" s="6">
        <v>15.8</v>
      </c>
      <c r="D558" s="6">
        <v>6.3288999999999998E-2</v>
      </c>
      <c r="E558" s="6">
        <v>-0.12248000000000001</v>
      </c>
      <c r="F558" s="6">
        <v>7.5329999999999994E-2</v>
      </c>
      <c r="G558" s="6">
        <v>112.31</v>
      </c>
      <c r="H558" s="6">
        <v>32.895000000000003</v>
      </c>
      <c r="I558" s="6">
        <v>333.34</v>
      </c>
      <c r="J558" s="6">
        <v>213.21</v>
      </c>
      <c r="K558" s="6">
        <v>0.30853999999999998</v>
      </c>
      <c r="L558" s="6">
        <v>28.596</v>
      </c>
      <c r="M558" s="6">
        <v>5.5492E-2</v>
      </c>
      <c r="N558" s="6">
        <v>1.3800999999999999E-4</v>
      </c>
      <c r="O558" s="6" t="s">
        <v>17</v>
      </c>
    </row>
    <row r="559" spans="1:15" ht="17" x14ac:dyDescent="0.35">
      <c r="A559" s="9">
        <v>124.5</v>
      </c>
      <c r="B559" s="11">
        <v>31.311</v>
      </c>
      <c r="C559" s="6">
        <v>15.763</v>
      </c>
      <c r="D559" s="6">
        <v>6.3438999999999995E-2</v>
      </c>
      <c r="E559" s="6">
        <v>-0.11659</v>
      </c>
      <c r="F559" s="6">
        <v>8.2043000000000005E-2</v>
      </c>
      <c r="G559" s="6">
        <v>112.36</v>
      </c>
      <c r="H559" s="6">
        <v>32.997</v>
      </c>
      <c r="I559" s="6">
        <v>339.89</v>
      </c>
      <c r="J559" s="6">
        <v>212.04</v>
      </c>
      <c r="K559" s="6">
        <v>0.31126999999999999</v>
      </c>
      <c r="L559" s="6">
        <v>28.488</v>
      </c>
      <c r="M559" s="6">
        <v>5.5523000000000003E-2</v>
      </c>
      <c r="N559" s="6">
        <v>1.3430000000000001E-4</v>
      </c>
      <c r="O559" s="6" t="s">
        <v>17</v>
      </c>
    </row>
    <row r="560" spans="1:15" ht="17" x14ac:dyDescent="0.35">
      <c r="A560" s="9">
        <v>124.54</v>
      </c>
      <c r="B560" s="11">
        <v>31.367000000000001</v>
      </c>
      <c r="C560" s="6">
        <v>15.725</v>
      </c>
      <c r="D560" s="6">
        <v>6.3591999999999996E-2</v>
      </c>
      <c r="E560" s="6">
        <v>-0.11065</v>
      </c>
      <c r="F560" s="6">
        <v>8.8816000000000006E-2</v>
      </c>
      <c r="G560" s="6">
        <v>112.41</v>
      </c>
      <c r="H560" s="6">
        <v>33.100999999999999</v>
      </c>
      <c r="I560" s="6">
        <v>346.73</v>
      </c>
      <c r="J560" s="6">
        <v>210.87</v>
      </c>
      <c r="K560" s="6">
        <v>0.31405</v>
      </c>
      <c r="L560" s="6">
        <v>28.379000000000001</v>
      </c>
      <c r="M560" s="6">
        <v>5.5558999999999997E-2</v>
      </c>
      <c r="N560" s="6">
        <v>1.3061E-4</v>
      </c>
      <c r="O560" s="6" t="s">
        <v>17</v>
      </c>
    </row>
    <row r="561" spans="1:15" ht="17" x14ac:dyDescent="0.35">
      <c r="A561" s="9">
        <v>124.58</v>
      </c>
      <c r="B561" s="11">
        <v>31.422999999999998</v>
      </c>
      <c r="C561" s="6">
        <v>15.686999999999999</v>
      </c>
      <c r="D561" s="6">
        <v>6.3746999999999998E-2</v>
      </c>
      <c r="E561" s="6">
        <v>-0.10466</v>
      </c>
      <c r="F561" s="6">
        <v>9.5651E-2</v>
      </c>
      <c r="G561" s="6">
        <v>112.46</v>
      </c>
      <c r="H561" s="6">
        <v>33.207999999999998</v>
      </c>
      <c r="I561" s="6">
        <v>353.89</v>
      </c>
      <c r="J561" s="6">
        <v>209.68</v>
      </c>
      <c r="K561" s="6">
        <v>0.31688</v>
      </c>
      <c r="L561" s="6">
        <v>28.268999999999998</v>
      </c>
      <c r="M561" s="6">
        <v>5.5598000000000002E-2</v>
      </c>
      <c r="N561" s="6">
        <v>1.2695E-4</v>
      </c>
      <c r="O561" s="6" t="s">
        <v>17</v>
      </c>
    </row>
    <row r="562" spans="1:15" ht="17" x14ac:dyDescent="0.35">
      <c r="A562" s="9">
        <v>124.61</v>
      </c>
      <c r="B562" s="11">
        <v>31.478999999999999</v>
      </c>
      <c r="C562" s="6">
        <v>15.648</v>
      </c>
      <c r="D562" s="6">
        <v>6.3904000000000002E-2</v>
      </c>
      <c r="E562" s="6">
        <v>-9.8617999999999997E-2</v>
      </c>
      <c r="F562" s="6">
        <v>0.10255</v>
      </c>
      <c r="G562" s="6">
        <v>112.51</v>
      </c>
      <c r="H562" s="6">
        <v>33.317999999999998</v>
      </c>
      <c r="I562" s="6">
        <v>361.39</v>
      </c>
      <c r="J562" s="6">
        <v>208.49</v>
      </c>
      <c r="K562" s="6">
        <v>0.31974999999999998</v>
      </c>
      <c r="L562" s="6">
        <v>28.158000000000001</v>
      </c>
      <c r="M562" s="6">
        <v>5.5641999999999997E-2</v>
      </c>
      <c r="N562" s="6">
        <v>1.2332000000000001E-4</v>
      </c>
      <c r="O562" s="6" t="s">
        <v>17</v>
      </c>
    </row>
    <row r="563" spans="1:15" ht="17" x14ac:dyDescent="0.35">
      <c r="A563" s="9">
        <v>124.65</v>
      </c>
      <c r="B563" s="11">
        <v>31.536000000000001</v>
      </c>
      <c r="C563" s="6">
        <v>15.609</v>
      </c>
      <c r="D563" s="6">
        <v>6.4064999999999997E-2</v>
      </c>
      <c r="E563" s="6">
        <v>-9.2517000000000002E-2</v>
      </c>
      <c r="F563" s="6">
        <v>0.10952000000000001</v>
      </c>
      <c r="G563" s="6">
        <v>112.57</v>
      </c>
      <c r="H563" s="6">
        <v>33.432000000000002</v>
      </c>
      <c r="I563" s="6">
        <v>369.26</v>
      </c>
      <c r="J563" s="6">
        <v>207.3</v>
      </c>
      <c r="K563" s="6">
        <v>0.32267000000000001</v>
      </c>
      <c r="L563" s="6">
        <v>28.045999999999999</v>
      </c>
      <c r="M563" s="6">
        <v>5.5690000000000003E-2</v>
      </c>
      <c r="N563" s="6">
        <v>1.1971E-4</v>
      </c>
      <c r="O563" s="6" t="s">
        <v>17</v>
      </c>
    </row>
    <row r="564" spans="1:15" ht="17" x14ac:dyDescent="0.35">
      <c r="A564" s="9">
        <v>124.69</v>
      </c>
      <c r="B564" s="11">
        <v>31.591999999999999</v>
      </c>
      <c r="C564" s="6">
        <v>15.569000000000001</v>
      </c>
      <c r="D564" s="6">
        <v>6.4227999999999993E-2</v>
      </c>
      <c r="E564" s="6">
        <v>-8.6358000000000004E-2</v>
      </c>
      <c r="F564" s="6">
        <v>0.11655</v>
      </c>
      <c r="G564" s="6">
        <v>112.62</v>
      </c>
      <c r="H564" s="6">
        <v>33.548000000000002</v>
      </c>
      <c r="I564" s="6">
        <v>377.52</v>
      </c>
      <c r="J564" s="6">
        <v>206.09</v>
      </c>
      <c r="K564" s="6">
        <v>0.32565</v>
      </c>
      <c r="L564" s="6">
        <v>27.934000000000001</v>
      </c>
      <c r="M564" s="6">
        <v>5.5743000000000001E-2</v>
      </c>
      <c r="N564" s="6">
        <v>1.1613E-4</v>
      </c>
      <c r="O564" s="6" t="s">
        <v>17</v>
      </c>
    </row>
    <row r="565" spans="1:15" ht="17" x14ac:dyDescent="0.35">
      <c r="A565" s="9">
        <v>124.73</v>
      </c>
      <c r="B565" s="11">
        <v>31.648</v>
      </c>
      <c r="C565" s="6">
        <v>15.529</v>
      </c>
      <c r="D565" s="6">
        <v>6.4394999999999994E-2</v>
      </c>
      <c r="E565" s="6">
        <v>-8.0138000000000001E-2</v>
      </c>
      <c r="F565" s="6">
        <v>0.12366000000000001</v>
      </c>
      <c r="G565" s="6">
        <v>112.67</v>
      </c>
      <c r="H565" s="6">
        <v>33.667000000000002</v>
      </c>
      <c r="I565" s="6">
        <v>386.2</v>
      </c>
      <c r="J565" s="6">
        <v>204.87</v>
      </c>
      <c r="K565" s="6">
        <v>0.32867000000000002</v>
      </c>
      <c r="L565" s="6">
        <v>27.82</v>
      </c>
      <c r="M565" s="6">
        <v>5.5801000000000003E-2</v>
      </c>
      <c r="N565" s="6">
        <v>1.1258E-4</v>
      </c>
      <c r="O565" s="6" t="s">
        <v>17</v>
      </c>
    </row>
    <row r="566" spans="1:15" ht="17" x14ac:dyDescent="0.35">
      <c r="A566" s="9">
        <v>124.76</v>
      </c>
      <c r="B566" s="11">
        <v>31.704999999999998</v>
      </c>
      <c r="C566" s="6">
        <v>15.488</v>
      </c>
      <c r="D566" s="6">
        <v>6.4563999999999996E-2</v>
      </c>
      <c r="E566" s="6">
        <v>-7.3855000000000004E-2</v>
      </c>
      <c r="F566" s="6">
        <v>0.13084000000000001</v>
      </c>
      <c r="G566" s="6">
        <v>112.73</v>
      </c>
      <c r="H566" s="6">
        <v>33.79</v>
      </c>
      <c r="I566" s="6">
        <v>395.34</v>
      </c>
      <c r="J566" s="6">
        <v>203.65</v>
      </c>
      <c r="K566" s="6">
        <v>0.33174999999999999</v>
      </c>
      <c r="L566" s="6">
        <v>27.704999999999998</v>
      </c>
      <c r="M566" s="6">
        <v>5.5864999999999998E-2</v>
      </c>
      <c r="N566" s="6">
        <v>1.0904999999999999E-4</v>
      </c>
      <c r="O566" s="6" t="s">
        <v>17</v>
      </c>
    </row>
    <row r="567" spans="1:15" ht="17" x14ac:dyDescent="0.35">
      <c r="A567" s="9">
        <v>124.8</v>
      </c>
      <c r="B567" s="11">
        <v>31.760999999999999</v>
      </c>
      <c r="C567" s="6">
        <v>15.446999999999999</v>
      </c>
      <c r="D567" s="6">
        <v>6.4737000000000003E-2</v>
      </c>
      <c r="E567" s="6">
        <v>-6.7503999999999995E-2</v>
      </c>
      <c r="F567" s="6">
        <v>0.13811000000000001</v>
      </c>
      <c r="G567" s="6">
        <v>112.78</v>
      </c>
      <c r="H567" s="6">
        <v>33.917000000000002</v>
      </c>
      <c r="I567" s="6">
        <v>404.97</v>
      </c>
      <c r="J567" s="6">
        <v>202.41</v>
      </c>
      <c r="K567" s="6">
        <v>0.33488000000000001</v>
      </c>
      <c r="L567" s="6">
        <v>27.588999999999999</v>
      </c>
      <c r="M567" s="6">
        <v>5.5934999999999999E-2</v>
      </c>
      <c r="N567" s="6">
        <v>1.0556E-4</v>
      </c>
      <c r="O567" s="6" t="s">
        <v>17</v>
      </c>
    </row>
    <row r="568" spans="1:15" ht="17" x14ac:dyDescent="0.35">
      <c r="A568" s="9">
        <v>124.84</v>
      </c>
      <c r="B568" s="11">
        <v>31.817</v>
      </c>
      <c r="C568" s="6">
        <v>15.404999999999999</v>
      </c>
      <c r="D568" s="6">
        <v>6.4912999999999998E-2</v>
      </c>
      <c r="E568" s="6">
        <v>-6.1085E-2</v>
      </c>
      <c r="F568" s="6">
        <v>0.14545</v>
      </c>
      <c r="G568" s="6">
        <v>112.84</v>
      </c>
      <c r="H568" s="6">
        <v>34.046999999999997</v>
      </c>
      <c r="I568" s="6">
        <v>415.13</v>
      </c>
      <c r="J568" s="6">
        <v>201.17</v>
      </c>
      <c r="K568" s="6">
        <v>0.33806999999999998</v>
      </c>
      <c r="L568" s="6">
        <v>27.472000000000001</v>
      </c>
      <c r="M568" s="6">
        <v>5.6009999999999997E-2</v>
      </c>
      <c r="N568" s="6">
        <v>1.0208999999999999E-4</v>
      </c>
      <c r="O568" s="6" t="s">
        <v>17</v>
      </c>
    </row>
    <row r="569" spans="1:15" ht="17" x14ac:dyDescent="0.35">
      <c r="A569" s="9">
        <v>124.87</v>
      </c>
      <c r="B569" s="11">
        <v>31.873999999999999</v>
      </c>
      <c r="C569" s="6">
        <v>15.363</v>
      </c>
      <c r="D569" s="6">
        <v>6.5092999999999998E-2</v>
      </c>
      <c r="E569" s="6">
        <v>-5.4593000000000003E-2</v>
      </c>
      <c r="F569" s="6">
        <v>0.15287999999999999</v>
      </c>
      <c r="G569" s="6">
        <v>112.9</v>
      </c>
      <c r="H569" s="6">
        <v>34.180999999999997</v>
      </c>
      <c r="I569" s="6">
        <v>425.86</v>
      </c>
      <c r="J569" s="6">
        <v>199.91</v>
      </c>
      <c r="K569" s="6">
        <v>0.34132000000000001</v>
      </c>
      <c r="L569" s="6">
        <v>27.353999999999999</v>
      </c>
      <c r="M569" s="6">
        <v>5.6092000000000003E-2</v>
      </c>
      <c r="N569" s="7">
        <v>9.8646000000000004E-5</v>
      </c>
      <c r="O569" s="6" t="s">
        <v>17</v>
      </c>
    </row>
    <row r="570" spans="1:15" ht="17" x14ac:dyDescent="0.35">
      <c r="A570" s="9">
        <v>124.91</v>
      </c>
      <c r="B570" s="11">
        <v>31.93</v>
      </c>
      <c r="C570" s="6">
        <v>15.319000000000001</v>
      </c>
      <c r="D570" s="6">
        <v>6.5277000000000002E-2</v>
      </c>
      <c r="E570" s="6">
        <v>-4.8024999999999998E-2</v>
      </c>
      <c r="F570" s="6">
        <v>0.16039999999999999</v>
      </c>
      <c r="G570" s="6">
        <v>112.95</v>
      </c>
      <c r="H570" s="6">
        <v>34.32</v>
      </c>
      <c r="I570" s="6">
        <v>437.23</v>
      </c>
      <c r="J570" s="6">
        <v>198.65</v>
      </c>
      <c r="K570" s="6">
        <v>0.34462999999999999</v>
      </c>
      <c r="L570" s="6">
        <v>27.234999999999999</v>
      </c>
      <c r="M570" s="6">
        <v>5.6182000000000003E-2</v>
      </c>
      <c r="N570" s="7">
        <v>9.5235000000000006E-5</v>
      </c>
      <c r="O570" s="6" t="s">
        <v>17</v>
      </c>
    </row>
    <row r="571" spans="1:15" ht="17" x14ac:dyDescent="0.35">
      <c r="A571" s="9">
        <v>124.95</v>
      </c>
      <c r="B571" s="11">
        <v>31.986000000000001</v>
      </c>
      <c r="C571" s="6">
        <v>15.275</v>
      </c>
      <c r="D571" s="6">
        <v>6.5463999999999994E-2</v>
      </c>
      <c r="E571" s="6">
        <v>-4.1377999999999998E-2</v>
      </c>
      <c r="F571" s="6">
        <v>0.16802</v>
      </c>
      <c r="G571" s="6">
        <v>113.01</v>
      </c>
      <c r="H571" s="6">
        <v>34.462000000000003</v>
      </c>
      <c r="I571" s="6">
        <v>449.28</v>
      </c>
      <c r="J571" s="6">
        <v>197.37</v>
      </c>
      <c r="K571" s="6">
        <v>0.34799999999999998</v>
      </c>
      <c r="L571" s="6">
        <v>27.114999999999998</v>
      </c>
      <c r="M571" s="6">
        <v>5.6278000000000002E-2</v>
      </c>
      <c r="N571" s="7">
        <v>9.1853000000000003E-5</v>
      </c>
      <c r="O571" s="6" t="s">
        <v>17</v>
      </c>
    </row>
    <row r="572" spans="1:15" ht="17" x14ac:dyDescent="0.35">
      <c r="A572" s="9">
        <v>124.98</v>
      </c>
      <c r="B572" s="11">
        <v>32.042000000000002</v>
      </c>
      <c r="C572" s="6">
        <v>15.231</v>
      </c>
      <c r="D572" s="6">
        <v>6.5656000000000006E-2</v>
      </c>
      <c r="E572" s="6">
        <v>-3.4646999999999997E-2</v>
      </c>
      <c r="F572" s="6">
        <v>0.17573</v>
      </c>
      <c r="G572" s="6">
        <v>113.07</v>
      </c>
      <c r="H572" s="6">
        <v>34.61</v>
      </c>
      <c r="I572" s="6">
        <v>462.07</v>
      </c>
      <c r="J572" s="6">
        <v>196.08</v>
      </c>
      <c r="K572" s="6">
        <v>0.35144999999999998</v>
      </c>
      <c r="L572" s="6">
        <v>26.992999999999999</v>
      </c>
      <c r="M572" s="6">
        <v>5.6383000000000003E-2</v>
      </c>
      <c r="N572" s="7">
        <v>8.8500999999999999E-5</v>
      </c>
      <c r="O572" s="6" t="s">
        <v>17</v>
      </c>
    </row>
    <row r="573" spans="1:15" ht="17" x14ac:dyDescent="0.35">
      <c r="A573" s="9">
        <v>125.02</v>
      </c>
      <c r="B573" s="11">
        <v>32.098999999999997</v>
      </c>
      <c r="C573" s="6">
        <v>15.186</v>
      </c>
      <c r="D573" s="6">
        <v>6.5851999999999994E-2</v>
      </c>
      <c r="E573" s="6">
        <v>-2.7827999999999999E-2</v>
      </c>
      <c r="F573" s="6">
        <v>0.18354999999999999</v>
      </c>
      <c r="G573" s="6">
        <v>113.13</v>
      </c>
      <c r="H573" s="6">
        <v>34.762</v>
      </c>
      <c r="I573" s="6">
        <v>475.68</v>
      </c>
      <c r="J573" s="6">
        <v>194.78</v>
      </c>
      <c r="K573" s="6">
        <v>0.35496</v>
      </c>
      <c r="L573" s="6">
        <v>26.869</v>
      </c>
      <c r="M573" s="6">
        <v>5.6495999999999998E-2</v>
      </c>
      <c r="N573" s="7">
        <v>8.5179999999999994E-5</v>
      </c>
      <c r="O573" s="6" t="s">
        <v>17</v>
      </c>
    </row>
    <row r="574" spans="1:15" ht="17" x14ac:dyDescent="0.35">
      <c r="A574" s="9">
        <v>125.06</v>
      </c>
      <c r="B574" s="11">
        <v>32.155000000000001</v>
      </c>
      <c r="C574" s="6">
        <v>15.138999999999999</v>
      </c>
      <c r="D574" s="6">
        <v>6.6053000000000001E-2</v>
      </c>
      <c r="E574" s="6">
        <v>-2.0917999999999999E-2</v>
      </c>
      <c r="F574" s="6">
        <v>0.19147</v>
      </c>
      <c r="G574" s="6">
        <v>113.19</v>
      </c>
      <c r="H574" s="6">
        <v>34.918999999999997</v>
      </c>
      <c r="I574" s="6">
        <v>490.18</v>
      </c>
      <c r="J574" s="6">
        <v>193.47</v>
      </c>
      <c r="K574" s="6">
        <v>0.35854000000000003</v>
      </c>
      <c r="L574" s="6">
        <v>26.745000000000001</v>
      </c>
      <c r="M574" s="6">
        <v>5.6618000000000002E-2</v>
      </c>
      <c r="N574" s="7">
        <v>8.1889000000000002E-5</v>
      </c>
      <c r="O574" s="6" t="s">
        <v>17</v>
      </c>
    </row>
    <row r="575" spans="1:15" ht="17" x14ac:dyDescent="0.35">
      <c r="A575" s="9">
        <v>125.09</v>
      </c>
      <c r="B575" s="11">
        <v>32.210999999999999</v>
      </c>
      <c r="C575" s="6">
        <v>15.092000000000001</v>
      </c>
      <c r="D575" s="6">
        <v>6.6257999999999997E-2</v>
      </c>
      <c r="E575" s="6">
        <v>-1.391E-2</v>
      </c>
      <c r="F575" s="6">
        <v>0.19952</v>
      </c>
      <c r="G575" s="6">
        <v>113.25</v>
      </c>
      <c r="H575" s="6">
        <v>35.082000000000001</v>
      </c>
      <c r="I575" s="6">
        <v>505.67</v>
      </c>
      <c r="J575" s="6">
        <v>192.15</v>
      </c>
      <c r="K575" s="6">
        <v>0.36220000000000002</v>
      </c>
      <c r="L575" s="6">
        <v>26.617999999999999</v>
      </c>
      <c r="M575" s="6">
        <v>5.6751000000000003E-2</v>
      </c>
      <c r="N575" s="7">
        <v>7.8628999999999995E-5</v>
      </c>
      <c r="O575" s="6" t="s">
        <v>17</v>
      </c>
    </row>
    <row r="576" spans="1:15" ht="17" x14ac:dyDescent="0.35">
      <c r="A576" s="9">
        <v>125.13</v>
      </c>
      <c r="B576" s="11">
        <v>32.268000000000001</v>
      </c>
      <c r="C576" s="6">
        <v>15.045</v>
      </c>
      <c r="D576" s="6">
        <v>6.6469E-2</v>
      </c>
      <c r="E576" s="6">
        <v>-6.7999000000000002E-3</v>
      </c>
      <c r="F576" s="6">
        <v>0.20768</v>
      </c>
      <c r="G576" s="6">
        <v>113.31</v>
      </c>
      <c r="H576" s="6">
        <v>35.250999999999998</v>
      </c>
      <c r="I576" s="6">
        <v>522.25</v>
      </c>
      <c r="J576" s="6">
        <v>190.81</v>
      </c>
      <c r="K576" s="6">
        <v>0.36592999999999998</v>
      </c>
      <c r="L576" s="6">
        <v>26.491</v>
      </c>
      <c r="M576" s="6">
        <v>5.6894E-2</v>
      </c>
      <c r="N576" s="7">
        <v>7.5401000000000005E-5</v>
      </c>
      <c r="O576" s="6" t="s">
        <v>17</v>
      </c>
    </row>
    <row r="577" spans="1:15" ht="17" x14ac:dyDescent="0.35">
      <c r="A577" s="9">
        <v>125.17</v>
      </c>
      <c r="B577" s="11">
        <v>32.323999999999998</v>
      </c>
      <c r="C577" s="6">
        <v>14.996</v>
      </c>
      <c r="D577" s="6">
        <v>6.6684999999999994E-2</v>
      </c>
      <c r="E577" s="6">
        <v>4.1844000000000001E-4</v>
      </c>
      <c r="F577" s="6">
        <v>0.21597</v>
      </c>
      <c r="G577" s="6">
        <v>113.38</v>
      </c>
      <c r="H577" s="6">
        <v>35.424999999999997</v>
      </c>
      <c r="I577" s="6">
        <v>540.04</v>
      </c>
      <c r="J577" s="6">
        <v>189.46</v>
      </c>
      <c r="K577" s="6">
        <v>0.36975000000000002</v>
      </c>
      <c r="L577" s="6">
        <v>26.361000000000001</v>
      </c>
      <c r="M577" s="6">
        <v>5.7049000000000002E-2</v>
      </c>
      <c r="N577" s="7">
        <v>7.2205000000000004E-5</v>
      </c>
      <c r="O577" s="6" t="s">
        <v>17</v>
      </c>
    </row>
    <row r="578" spans="1:15" ht="17" x14ac:dyDescent="0.35">
      <c r="A578" s="9">
        <v>125.2</v>
      </c>
      <c r="B578" s="11">
        <v>32.380000000000003</v>
      </c>
      <c r="C578" s="6">
        <v>14.946</v>
      </c>
      <c r="D578" s="6">
        <v>6.6905999999999993E-2</v>
      </c>
      <c r="E578" s="6">
        <v>7.7514000000000003E-3</v>
      </c>
      <c r="F578" s="6">
        <v>0.22439999999999999</v>
      </c>
      <c r="G578" s="6">
        <v>113.44</v>
      </c>
      <c r="H578" s="6">
        <v>35.606000000000002</v>
      </c>
      <c r="I578" s="6">
        <v>559.16999999999996</v>
      </c>
      <c r="J578" s="6">
        <v>188.1</v>
      </c>
      <c r="K578" s="6">
        <v>0.37365999999999999</v>
      </c>
      <c r="L578" s="6">
        <v>26.228999999999999</v>
      </c>
      <c r="M578" s="6">
        <v>5.7216999999999997E-2</v>
      </c>
      <c r="N578" s="7">
        <v>6.9041999999999994E-5</v>
      </c>
      <c r="O578" s="6" t="s">
        <v>17</v>
      </c>
    </row>
    <row r="579" spans="1:15" ht="17" x14ac:dyDescent="0.35">
      <c r="A579" s="9">
        <v>125.24</v>
      </c>
      <c r="B579" s="11">
        <v>32.436</v>
      </c>
      <c r="C579" s="6">
        <v>14.896000000000001</v>
      </c>
      <c r="D579" s="6">
        <v>6.7133999999999999E-2</v>
      </c>
      <c r="E579" s="6">
        <v>1.5206000000000001E-2</v>
      </c>
      <c r="F579" s="6">
        <v>0.23297000000000001</v>
      </c>
      <c r="G579" s="6">
        <v>113.51</v>
      </c>
      <c r="H579" s="6">
        <v>35.793999999999997</v>
      </c>
      <c r="I579" s="6">
        <v>579.79999999999995</v>
      </c>
      <c r="J579" s="6">
        <v>186.72</v>
      </c>
      <c r="K579" s="6">
        <v>0.37764999999999999</v>
      </c>
      <c r="L579" s="6">
        <v>26.096</v>
      </c>
      <c r="M579" s="6">
        <v>5.7398999999999999E-2</v>
      </c>
      <c r="N579" s="7">
        <v>6.5913000000000004E-5</v>
      </c>
      <c r="O579" s="6" t="s">
        <v>17</v>
      </c>
    </row>
    <row r="580" spans="1:15" ht="17" x14ac:dyDescent="0.35">
      <c r="A580" s="9">
        <v>125.27</v>
      </c>
      <c r="B580" s="11">
        <v>32.493000000000002</v>
      </c>
      <c r="C580" s="6">
        <v>14.843999999999999</v>
      </c>
      <c r="D580" s="6">
        <v>6.7367999999999997E-2</v>
      </c>
      <c r="E580" s="6">
        <v>2.2790000000000001E-2</v>
      </c>
      <c r="F580" s="6">
        <v>0.24168999999999999</v>
      </c>
      <c r="G580" s="6">
        <v>113.57</v>
      </c>
      <c r="H580" s="6">
        <v>35.988999999999997</v>
      </c>
      <c r="I580" s="6">
        <v>602.1</v>
      </c>
      <c r="J580" s="6">
        <v>185.32</v>
      </c>
      <c r="K580" s="6">
        <v>0.38174000000000002</v>
      </c>
      <c r="L580" s="6">
        <v>25.960999999999999</v>
      </c>
      <c r="M580" s="6">
        <v>5.7597000000000002E-2</v>
      </c>
      <c r="N580" s="7">
        <v>6.2817999999999994E-5</v>
      </c>
      <c r="O580" s="6" t="s">
        <v>17</v>
      </c>
    </row>
    <row r="581" spans="1:15" ht="17" x14ac:dyDescent="0.35">
      <c r="A581" s="9">
        <v>125.31</v>
      </c>
      <c r="B581" s="11">
        <v>32.548999999999999</v>
      </c>
      <c r="C581" s="6">
        <v>14.791</v>
      </c>
      <c r="D581" s="6">
        <v>6.7610000000000003E-2</v>
      </c>
      <c r="E581" s="6">
        <v>3.0512000000000001E-2</v>
      </c>
      <c r="F581" s="6">
        <v>0.25057000000000001</v>
      </c>
      <c r="G581" s="6">
        <v>113.64</v>
      </c>
      <c r="H581" s="6">
        <v>36.192</v>
      </c>
      <c r="I581" s="6">
        <v>626.29</v>
      </c>
      <c r="J581" s="6">
        <v>183.91</v>
      </c>
      <c r="K581" s="6">
        <v>0.38591999999999999</v>
      </c>
      <c r="L581" s="6">
        <v>25.823</v>
      </c>
      <c r="M581" s="6">
        <v>5.7811000000000001E-2</v>
      </c>
      <c r="N581" s="7">
        <v>5.9757999999999999E-5</v>
      </c>
      <c r="O581" s="6" t="s">
        <v>17</v>
      </c>
    </row>
    <row r="582" spans="1:15" ht="17" x14ac:dyDescent="0.35">
      <c r="A582" s="9">
        <v>125.35</v>
      </c>
      <c r="B582" s="11">
        <v>32.604999999999997</v>
      </c>
      <c r="C582" s="6">
        <v>14.737</v>
      </c>
      <c r="D582" s="6">
        <v>6.7858000000000002E-2</v>
      </c>
      <c r="E582" s="6">
        <v>3.8380999999999998E-2</v>
      </c>
      <c r="F582" s="6">
        <v>0.25963000000000003</v>
      </c>
      <c r="G582" s="6">
        <v>113.71</v>
      </c>
      <c r="H582" s="6">
        <v>36.402999999999999</v>
      </c>
      <c r="I582" s="6">
        <v>652.62</v>
      </c>
      <c r="J582" s="6">
        <v>182.48</v>
      </c>
      <c r="K582" s="6">
        <v>0.39021</v>
      </c>
      <c r="L582" s="6">
        <v>25.683</v>
      </c>
      <c r="M582" s="6">
        <v>5.8044999999999999E-2</v>
      </c>
      <c r="N582" s="7">
        <v>5.6733E-5</v>
      </c>
      <c r="O582" s="6" t="s">
        <v>17</v>
      </c>
    </row>
    <row r="583" spans="1:15" ht="17" x14ac:dyDescent="0.35">
      <c r="A583" s="9">
        <v>125.38</v>
      </c>
      <c r="B583" s="11">
        <v>32.661999999999999</v>
      </c>
      <c r="C583" s="6">
        <v>14.680999999999999</v>
      </c>
      <c r="D583" s="6">
        <v>6.8114999999999995E-2</v>
      </c>
      <c r="E583" s="6">
        <v>4.6406999999999997E-2</v>
      </c>
      <c r="F583" s="6">
        <v>0.26888000000000001</v>
      </c>
      <c r="G583" s="6">
        <v>113.78</v>
      </c>
      <c r="H583" s="6">
        <v>36.622999999999998</v>
      </c>
      <c r="I583" s="6">
        <v>681.38</v>
      </c>
      <c r="J583" s="6">
        <v>181.03</v>
      </c>
      <c r="K583" s="6">
        <v>0.39462000000000003</v>
      </c>
      <c r="L583" s="6">
        <v>25.541</v>
      </c>
      <c r="M583" s="6">
        <v>5.8298999999999997E-2</v>
      </c>
      <c r="N583" s="7">
        <v>5.3745000000000001E-5</v>
      </c>
      <c r="O583" s="6" t="s">
        <v>17</v>
      </c>
    </row>
    <row r="584" spans="1:15" ht="17" x14ac:dyDescent="0.35">
      <c r="A584" s="9">
        <v>125.42</v>
      </c>
      <c r="B584" s="11">
        <v>32.718000000000004</v>
      </c>
      <c r="C584" s="6">
        <v>14.624000000000001</v>
      </c>
      <c r="D584" s="6">
        <v>6.8379999999999996E-2</v>
      </c>
      <c r="E584" s="6">
        <v>5.4602999999999999E-2</v>
      </c>
      <c r="F584" s="6">
        <v>0.27833000000000002</v>
      </c>
      <c r="G584" s="6">
        <v>113.85</v>
      </c>
      <c r="H584" s="6">
        <v>36.853000000000002</v>
      </c>
      <c r="I584" s="6">
        <v>712.91</v>
      </c>
      <c r="J584" s="6">
        <v>179.57</v>
      </c>
      <c r="K584" s="6">
        <v>0.39912999999999998</v>
      </c>
      <c r="L584" s="6">
        <v>25.396000000000001</v>
      </c>
      <c r="M584" s="6">
        <v>5.8576999999999997E-2</v>
      </c>
      <c r="N584" s="7">
        <v>5.0794999999999997E-5</v>
      </c>
      <c r="O584" s="6" t="s">
        <v>17</v>
      </c>
    </row>
    <row r="585" spans="1:15" ht="17" x14ac:dyDescent="0.35">
      <c r="A585" s="9">
        <v>125.45</v>
      </c>
      <c r="B585" s="11">
        <v>32.774000000000001</v>
      </c>
      <c r="C585" s="6">
        <v>14.566000000000001</v>
      </c>
      <c r="D585" s="6">
        <v>6.8654000000000007E-2</v>
      </c>
      <c r="E585" s="6">
        <v>6.2981999999999996E-2</v>
      </c>
      <c r="F585" s="6">
        <v>0.28799000000000002</v>
      </c>
      <c r="G585" s="6">
        <v>113.93</v>
      </c>
      <c r="H585" s="6">
        <v>37.093000000000004</v>
      </c>
      <c r="I585" s="6">
        <v>747.63</v>
      </c>
      <c r="J585" s="6">
        <v>178.08</v>
      </c>
      <c r="K585" s="6">
        <v>0.40377999999999997</v>
      </c>
      <c r="L585" s="6">
        <v>25.248000000000001</v>
      </c>
      <c r="M585" s="6">
        <v>5.8881999999999997E-2</v>
      </c>
      <c r="N585" s="7">
        <v>4.7883000000000002E-5</v>
      </c>
      <c r="O585" s="6" t="s">
        <v>17</v>
      </c>
    </row>
    <row r="586" spans="1:15" ht="17" x14ac:dyDescent="0.35">
      <c r="A586" s="9">
        <v>125.49</v>
      </c>
      <c r="B586" s="11">
        <v>32.83</v>
      </c>
      <c r="C586" s="6">
        <v>14.506</v>
      </c>
      <c r="D586" s="6">
        <v>6.8939E-2</v>
      </c>
      <c r="E586" s="6">
        <v>7.1557999999999997E-2</v>
      </c>
      <c r="F586" s="6">
        <v>0.29788999999999999</v>
      </c>
      <c r="G586" s="6">
        <v>114</v>
      </c>
      <c r="H586" s="6">
        <v>37.344999999999999</v>
      </c>
      <c r="I586" s="6">
        <v>786.03</v>
      </c>
      <c r="J586" s="6">
        <v>176.58</v>
      </c>
      <c r="K586" s="6">
        <v>0.40855000000000002</v>
      </c>
      <c r="L586" s="6">
        <v>25.097000000000001</v>
      </c>
      <c r="M586" s="6">
        <v>5.9216999999999999E-2</v>
      </c>
      <c r="N586" s="7">
        <v>4.5009999999999998E-5</v>
      </c>
      <c r="O586" s="6" t="s">
        <v>17</v>
      </c>
    </row>
    <row r="587" spans="1:15" ht="17" x14ac:dyDescent="0.35">
      <c r="A587" s="9">
        <v>125.52</v>
      </c>
      <c r="B587" s="11">
        <v>32.887</v>
      </c>
      <c r="C587" s="6">
        <v>14.444000000000001</v>
      </c>
      <c r="D587" s="6">
        <v>6.9234000000000004E-2</v>
      </c>
      <c r="E587" s="6">
        <v>8.0348000000000003E-2</v>
      </c>
      <c r="F587" s="6">
        <v>0.30803999999999998</v>
      </c>
      <c r="G587" s="6">
        <v>114.08</v>
      </c>
      <c r="H587" s="6">
        <v>37.607999999999997</v>
      </c>
      <c r="I587" s="6">
        <v>828.74</v>
      </c>
      <c r="J587" s="6">
        <v>175.05</v>
      </c>
      <c r="K587" s="6">
        <v>0.41345999999999999</v>
      </c>
      <c r="L587" s="6">
        <v>24.942</v>
      </c>
      <c r="M587" s="6">
        <v>5.9586E-2</v>
      </c>
      <c r="N587" s="7">
        <v>4.2178000000000002E-5</v>
      </c>
      <c r="O587" s="6" t="s">
        <v>17</v>
      </c>
    </row>
    <row r="588" spans="1:15" ht="17" x14ac:dyDescent="0.35">
      <c r="A588" s="9">
        <v>125.56</v>
      </c>
      <c r="B588" s="11">
        <v>32.942999999999998</v>
      </c>
      <c r="C588" s="6">
        <v>14.38</v>
      </c>
      <c r="D588" s="6">
        <v>6.9541000000000006E-2</v>
      </c>
      <c r="E588" s="6">
        <v>8.9371000000000006E-2</v>
      </c>
      <c r="F588" s="6">
        <v>0.31846000000000002</v>
      </c>
      <c r="G588" s="6">
        <v>114.16</v>
      </c>
      <c r="H588" s="6">
        <v>37.884999999999998</v>
      </c>
      <c r="I588" s="6">
        <v>876.5</v>
      </c>
      <c r="J588" s="6">
        <v>173.49</v>
      </c>
      <c r="K588" s="6">
        <v>0.41852</v>
      </c>
      <c r="L588" s="6">
        <v>24.783999999999999</v>
      </c>
      <c r="M588" s="6">
        <v>5.9993999999999999E-2</v>
      </c>
      <c r="N588" s="7">
        <v>3.9388000000000003E-5</v>
      </c>
      <c r="O588" s="6" t="s">
        <v>17</v>
      </c>
    </row>
    <row r="589" spans="1:15" ht="17" x14ac:dyDescent="0.35">
      <c r="A589" s="9">
        <v>125.6</v>
      </c>
      <c r="B589" s="11">
        <v>32.999000000000002</v>
      </c>
      <c r="C589" s="6">
        <v>14.314</v>
      </c>
      <c r="D589" s="6">
        <v>6.9861000000000006E-2</v>
      </c>
      <c r="E589" s="6">
        <v>9.8651000000000003E-2</v>
      </c>
      <c r="F589" s="6">
        <v>0.32918999999999998</v>
      </c>
      <c r="G589" s="6">
        <v>114.24</v>
      </c>
      <c r="H589" s="6">
        <v>38.176000000000002</v>
      </c>
      <c r="I589" s="6">
        <v>930.25</v>
      </c>
      <c r="J589" s="6">
        <v>171.91</v>
      </c>
      <c r="K589" s="6">
        <v>0.42374000000000001</v>
      </c>
      <c r="L589" s="6">
        <v>24.622</v>
      </c>
      <c r="M589" s="6">
        <v>6.0447000000000001E-2</v>
      </c>
      <c r="N589" s="7">
        <v>3.6640999999999997E-5</v>
      </c>
      <c r="O589" s="6" t="s">
        <v>17</v>
      </c>
    </row>
    <row r="590" spans="1:15" ht="17" x14ac:dyDescent="0.35">
      <c r="A590" s="9">
        <v>125.63</v>
      </c>
      <c r="B590" s="11">
        <v>33.055999999999997</v>
      </c>
      <c r="C590" s="6">
        <v>14.246</v>
      </c>
      <c r="D590" s="6">
        <v>7.0195999999999995E-2</v>
      </c>
      <c r="E590" s="6">
        <v>0.10821</v>
      </c>
      <c r="F590" s="6">
        <v>0.34025</v>
      </c>
      <c r="G590" s="6">
        <v>114.33</v>
      </c>
      <c r="H590" s="6">
        <v>38.484000000000002</v>
      </c>
      <c r="I590" s="6">
        <v>991.17</v>
      </c>
      <c r="J590" s="6">
        <v>170.31</v>
      </c>
      <c r="K590" s="6">
        <v>0.42914000000000002</v>
      </c>
      <c r="L590" s="6">
        <v>24.456</v>
      </c>
      <c r="M590" s="6">
        <v>6.0953E-2</v>
      </c>
      <c r="N590" s="7">
        <v>3.3937999999999999E-5</v>
      </c>
      <c r="O590" s="6" t="s">
        <v>17</v>
      </c>
    </row>
    <row r="591" spans="1:15" ht="17" x14ac:dyDescent="0.35">
      <c r="A591" s="9">
        <v>125.67</v>
      </c>
      <c r="B591" s="11">
        <v>33.112000000000002</v>
      </c>
      <c r="C591" s="6">
        <v>14.175000000000001</v>
      </c>
      <c r="D591" s="6">
        <v>7.0546999999999999E-2</v>
      </c>
      <c r="E591" s="6">
        <v>0.11809</v>
      </c>
      <c r="F591" s="6">
        <v>0.35167999999999999</v>
      </c>
      <c r="G591" s="6">
        <v>114.42</v>
      </c>
      <c r="H591" s="6">
        <v>38.808999999999997</v>
      </c>
      <c r="I591" s="6">
        <v>1060.8</v>
      </c>
      <c r="J591" s="6">
        <v>168.67</v>
      </c>
      <c r="K591" s="6">
        <v>0.43472</v>
      </c>
      <c r="L591" s="6">
        <v>24.285</v>
      </c>
      <c r="M591" s="6">
        <v>6.1522E-2</v>
      </c>
      <c r="N591" s="7">
        <v>3.1282999999999998E-5</v>
      </c>
      <c r="O591" s="6" t="s">
        <v>17</v>
      </c>
    </row>
    <row r="592" spans="1:15" ht="17" x14ac:dyDescent="0.35">
      <c r="A592" s="9">
        <v>125.7</v>
      </c>
      <c r="B592" s="11">
        <v>33.167999999999999</v>
      </c>
      <c r="C592" s="6">
        <v>14.101000000000001</v>
      </c>
      <c r="D592" s="6">
        <v>7.0915000000000006E-2</v>
      </c>
      <c r="E592" s="6">
        <v>0.12831000000000001</v>
      </c>
      <c r="F592" s="6">
        <v>0.36352000000000001</v>
      </c>
      <c r="G592" s="6">
        <v>114.51</v>
      </c>
      <c r="H592" s="6">
        <v>39.154000000000003</v>
      </c>
      <c r="I592" s="6">
        <v>1141</v>
      </c>
      <c r="J592" s="6">
        <v>167</v>
      </c>
      <c r="K592" s="6">
        <v>0.4405</v>
      </c>
      <c r="L592" s="6">
        <v>24.108000000000001</v>
      </c>
      <c r="M592" s="6">
        <v>6.2163000000000003E-2</v>
      </c>
      <c r="N592" s="7">
        <v>2.8676000000000001E-5</v>
      </c>
      <c r="O592" s="6" t="s">
        <v>17</v>
      </c>
    </row>
    <row r="593" spans="1:15" ht="17" x14ac:dyDescent="0.35">
      <c r="A593" s="9">
        <v>125.74</v>
      </c>
      <c r="B593" s="11">
        <v>33.225000000000001</v>
      </c>
      <c r="C593" s="6">
        <v>14.023999999999999</v>
      </c>
      <c r="D593" s="6">
        <v>7.1304000000000006E-2</v>
      </c>
      <c r="E593" s="6">
        <v>0.13891999999999999</v>
      </c>
      <c r="F593" s="6">
        <v>0.37581999999999999</v>
      </c>
      <c r="G593" s="6">
        <v>114.6</v>
      </c>
      <c r="H593" s="6">
        <v>39.520000000000003</v>
      </c>
      <c r="I593" s="6">
        <v>1234.4000000000001</v>
      </c>
      <c r="J593" s="6">
        <v>165.3</v>
      </c>
      <c r="K593" s="6">
        <v>0.44651000000000002</v>
      </c>
      <c r="L593" s="6">
        <v>23.925999999999998</v>
      </c>
      <c r="M593" s="6">
        <v>6.2894000000000005E-2</v>
      </c>
      <c r="N593" s="7">
        <v>2.6118999999999998E-5</v>
      </c>
      <c r="O593" s="6" t="s">
        <v>17</v>
      </c>
    </row>
    <row r="594" spans="1:15" ht="17" x14ac:dyDescent="0.35">
      <c r="A594" s="9">
        <v>125.77</v>
      </c>
      <c r="B594" s="11">
        <v>33.280999999999999</v>
      </c>
      <c r="C594" s="6">
        <v>13.944000000000001</v>
      </c>
      <c r="D594" s="6">
        <v>7.1716000000000002E-2</v>
      </c>
      <c r="E594" s="6">
        <v>0.14998</v>
      </c>
      <c r="F594" s="6">
        <v>0.38865</v>
      </c>
      <c r="G594" s="6">
        <v>114.7</v>
      </c>
      <c r="H594" s="6">
        <v>39.911999999999999</v>
      </c>
      <c r="I594" s="6">
        <v>1344.5</v>
      </c>
      <c r="J594" s="6">
        <v>163.56</v>
      </c>
      <c r="K594" s="6">
        <v>0.45276</v>
      </c>
      <c r="L594" s="6">
        <v>23.736000000000001</v>
      </c>
      <c r="M594" s="6">
        <v>6.3732999999999998E-2</v>
      </c>
      <c r="N594" s="7">
        <v>2.3615E-5</v>
      </c>
      <c r="O594" s="6" t="s">
        <v>17</v>
      </c>
    </row>
    <row r="595" spans="1:15" ht="17" x14ac:dyDescent="0.35">
      <c r="A595" s="9">
        <v>125.81</v>
      </c>
      <c r="B595" s="11">
        <v>33.337000000000003</v>
      </c>
      <c r="C595" s="6">
        <v>13.859</v>
      </c>
      <c r="D595" s="6">
        <v>7.2153999999999996E-2</v>
      </c>
      <c r="E595" s="6">
        <v>0.16153999999999999</v>
      </c>
      <c r="F595" s="6">
        <v>0.40207999999999999</v>
      </c>
      <c r="G595" s="6">
        <v>114.8</v>
      </c>
      <c r="H595" s="6">
        <v>40.332000000000001</v>
      </c>
      <c r="I595" s="6">
        <v>1476.2</v>
      </c>
      <c r="J595" s="6">
        <v>161.78</v>
      </c>
      <c r="K595" s="6">
        <v>0.45928000000000002</v>
      </c>
      <c r="L595" s="6">
        <v>23.539000000000001</v>
      </c>
      <c r="M595" s="6">
        <v>6.4704999999999999E-2</v>
      </c>
      <c r="N595" s="7">
        <v>2.1168000000000001E-5</v>
      </c>
      <c r="O595" s="6" t="s">
        <v>17</v>
      </c>
    </row>
    <row r="596" spans="1:15" ht="17" x14ac:dyDescent="0.35">
      <c r="A596" s="9">
        <v>125.84</v>
      </c>
      <c r="B596" s="11">
        <v>33.393000000000001</v>
      </c>
      <c r="C596" s="6">
        <v>13.77</v>
      </c>
      <c r="D596" s="6">
        <v>7.2622999999999993E-2</v>
      </c>
      <c r="E596" s="6">
        <v>0.17369000000000001</v>
      </c>
      <c r="F596" s="6">
        <v>0.41620000000000001</v>
      </c>
      <c r="G596" s="6">
        <v>114.91</v>
      </c>
      <c r="H596" s="6">
        <v>40.783999999999999</v>
      </c>
      <c r="I596" s="6">
        <v>1636.1</v>
      </c>
      <c r="J596" s="6">
        <v>159.94</v>
      </c>
      <c r="K596" s="6">
        <v>0.46611000000000002</v>
      </c>
      <c r="L596" s="6">
        <v>23.332999999999998</v>
      </c>
      <c r="M596" s="6">
        <v>6.5846000000000002E-2</v>
      </c>
      <c r="N596" s="7">
        <v>1.8779000000000001E-5</v>
      </c>
      <c r="O596" s="6" t="s">
        <v>17</v>
      </c>
    </row>
    <row r="597" spans="1:15" ht="17" x14ac:dyDescent="0.35">
      <c r="A597" s="9">
        <v>125.88</v>
      </c>
      <c r="B597" s="11">
        <v>33.450000000000003</v>
      </c>
      <c r="C597" s="6">
        <v>13.675000000000001</v>
      </c>
      <c r="D597" s="6">
        <v>7.3127999999999999E-2</v>
      </c>
      <c r="E597" s="6">
        <v>0.18654000000000001</v>
      </c>
      <c r="F597" s="6">
        <v>0.43114999999999998</v>
      </c>
      <c r="G597" s="6">
        <v>115.03</v>
      </c>
      <c r="H597" s="6">
        <v>41.274999999999999</v>
      </c>
      <c r="I597" s="6">
        <v>1834.2</v>
      </c>
      <c r="J597" s="6">
        <v>158.06</v>
      </c>
      <c r="K597" s="6">
        <v>0.47328999999999999</v>
      </c>
      <c r="L597" s="6">
        <v>23.117000000000001</v>
      </c>
      <c r="M597" s="6">
        <v>6.7205000000000001E-2</v>
      </c>
      <c r="N597" s="7">
        <v>1.6453999999999999E-5</v>
      </c>
      <c r="O597" s="6" t="s">
        <v>17</v>
      </c>
    </row>
    <row r="598" spans="1:15" ht="17" x14ac:dyDescent="0.35">
      <c r="A598" s="9">
        <v>125.91</v>
      </c>
      <c r="B598" s="11">
        <v>33.506</v>
      </c>
      <c r="C598" s="6">
        <v>13.573</v>
      </c>
      <c r="D598" s="6">
        <v>7.3676000000000005E-2</v>
      </c>
      <c r="E598" s="6">
        <v>0.20022000000000001</v>
      </c>
      <c r="F598" s="6">
        <v>0.44707999999999998</v>
      </c>
      <c r="G598" s="6">
        <v>115.15</v>
      </c>
      <c r="H598" s="6">
        <v>41.81</v>
      </c>
      <c r="I598" s="6">
        <v>2085.9</v>
      </c>
      <c r="J598" s="6">
        <v>156.11000000000001</v>
      </c>
      <c r="K598" s="6">
        <v>0.48086000000000001</v>
      </c>
      <c r="L598" s="6">
        <v>22.888000000000002</v>
      </c>
      <c r="M598" s="6">
        <v>6.8852999999999998E-2</v>
      </c>
      <c r="N598" s="7">
        <v>1.4195999999999999E-5</v>
      </c>
      <c r="O598" s="6" t="s">
        <v>17</v>
      </c>
    </row>
    <row r="599" spans="1:15" ht="17" x14ac:dyDescent="0.35">
      <c r="A599" s="9">
        <v>125.95</v>
      </c>
      <c r="B599" s="11">
        <v>33.561999999999998</v>
      </c>
      <c r="C599" s="6">
        <v>13.462999999999999</v>
      </c>
      <c r="D599" s="6">
        <v>7.4278999999999998E-2</v>
      </c>
      <c r="E599" s="6">
        <v>0.21490999999999999</v>
      </c>
      <c r="F599" s="6">
        <v>0.46421000000000001</v>
      </c>
      <c r="G599" s="6">
        <v>115.29</v>
      </c>
      <c r="H599" s="6">
        <v>42.4</v>
      </c>
      <c r="I599" s="6">
        <v>2415.1999999999998</v>
      </c>
      <c r="J599" s="6">
        <v>154.1</v>
      </c>
      <c r="K599" s="6">
        <v>0.48891000000000001</v>
      </c>
      <c r="L599" s="6">
        <v>22.643999999999998</v>
      </c>
      <c r="M599" s="6">
        <v>7.0895E-2</v>
      </c>
      <c r="N599" s="7">
        <v>1.2011000000000001E-5</v>
      </c>
      <c r="O599" s="6" t="s">
        <v>17</v>
      </c>
    </row>
    <row r="600" spans="1:15" ht="17" x14ac:dyDescent="0.35">
      <c r="A600" s="9">
        <v>125.98</v>
      </c>
      <c r="B600" s="11">
        <v>33.619</v>
      </c>
      <c r="C600" s="6">
        <v>13.342000000000001</v>
      </c>
      <c r="D600" s="6">
        <v>7.4949000000000002E-2</v>
      </c>
      <c r="E600" s="6">
        <v>0.23089000000000001</v>
      </c>
      <c r="F600" s="6">
        <v>0.48285</v>
      </c>
      <c r="G600" s="6">
        <v>115.43</v>
      </c>
      <c r="H600" s="6">
        <v>43.055999999999997</v>
      </c>
      <c r="I600" s="6">
        <v>2863.5</v>
      </c>
      <c r="J600" s="6">
        <v>152</v>
      </c>
      <c r="K600" s="6">
        <v>0.49752000000000002</v>
      </c>
      <c r="L600" s="6">
        <v>22.38</v>
      </c>
      <c r="M600" s="6">
        <v>7.3500999999999997E-2</v>
      </c>
      <c r="N600" s="7">
        <v>9.9065000000000008E-6</v>
      </c>
      <c r="O600" s="6" t="s">
        <v>17</v>
      </c>
    </row>
    <row r="601" spans="1:15" ht="17" x14ac:dyDescent="0.35">
      <c r="A601" s="9">
        <v>126.02</v>
      </c>
      <c r="B601" s="11">
        <v>33.674999999999997</v>
      </c>
      <c r="C601" s="6">
        <v>13.209</v>
      </c>
      <c r="D601" s="6">
        <v>7.5707999999999998E-2</v>
      </c>
      <c r="E601" s="6">
        <v>0.24854000000000001</v>
      </c>
      <c r="F601" s="6">
        <v>0.50348000000000004</v>
      </c>
      <c r="G601" s="6">
        <v>115.59</v>
      </c>
      <c r="H601" s="6">
        <v>43.798000000000002</v>
      </c>
      <c r="I601" s="6">
        <v>3506.8</v>
      </c>
      <c r="J601" s="6">
        <v>149.80000000000001</v>
      </c>
      <c r="K601" s="6">
        <v>0.50683</v>
      </c>
      <c r="L601" s="6">
        <v>22.093</v>
      </c>
      <c r="M601" s="6">
        <v>7.6957999999999999E-2</v>
      </c>
      <c r="N601" s="7">
        <v>7.8911999999999999E-6</v>
      </c>
      <c r="O601" s="6" t="s">
        <v>17</v>
      </c>
    </row>
    <row r="602" spans="1:15" ht="17" x14ac:dyDescent="0.35">
      <c r="A602" s="9">
        <v>126.05</v>
      </c>
      <c r="B602" s="11">
        <v>33.731000000000002</v>
      </c>
      <c r="C602" s="6">
        <v>13.057</v>
      </c>
      <c r="D602" s="6">
        <v>7.6590000000000005E-2</v>
      </c>
      <c r="E602" s="6">
        <v>0.26849000000000001</v>
      </c>
      <c r="F602" s="6">
        <v>0.52683000000000002</v>
      </c>
      <c r="G602" s="6">
        <v>115.77</v>
      </c>
      <c r="H602" s="6">
        <v>44.654000000000003</v>
      </c>
      <c r="I602" s="6">
        <v>4501.2</v>
      </c>
      <c r="J602" s="6">
        <v>147.47</v>
      </c>
      <c r="K602" s="6">
        <v>0.51705999999999996</v>
      </c>
      <c r="L602" s="6">
        <v>21.771000000000001</v>
      </c>
      <c r="M602" s="6">
        <v>8.1800999999999999E-2</v>
      </c>
      <c r="N602" s="7">
        <v>5.9774999999999999E-6</v>
      </c>
      <c r="O602" s="6" t="s">
        <v>17</v>
      </c>
    </row>
    <row r="603" spans="1:15" ht="17" x14ac:dyDescent="0.35">
      <c r="A603" s="9">
        <v>126.09</v>
      </c>
      <c r="B603" s="11">
        <v>33.786999999999999</v>
      </c>
      <c r="C603" s="6">
        <v>12.877000000000001</v>
      </c>
      <c r="D603" s="6">
        <v>7.7655000000000002E-2</v>
      </c>
      <c r="E603" s="6">
        <v>0.29186000000000001</v>
      </c>
      <c r="F603" s="6">
        <v>0.55423</v>
      </c>
      <c r="G603" s="6">
        <v>115.99</v>
      </c>
      <c r="H603" s="6">
        <v>45.673000000000002</v>
      </c>
      <c r="I603" s="6">
        <v>6223.2</v>
      </c>
      <c r="J603" s="6">
        <v>144.97</v>
      </c>
      <c r="K603" s="6">
        <v>0.52856000000000003</v>
      </c>
      <c r="L603" s="6">
        <v>21.401</v>
      </c>
      <c r="M603" s="6">
        <v>8.9177999999999993E-2</v>
      </c>
      <c r="N603" s="7">
        <v>4.1826999999999998E-6</v>
      </c>
      <c r="O603" s="6" t="s">
        <v>17</v>
      </c>
    </row>
    <row r="604" spans="1:15" ht="17" x14ac:dyDescent="0.35">
      <c r="A604" s="9">
        <v>126.12</v>
      </c>
      <c r="B604" s="11">
        <v>33.844000000000001</v>
      </c>
      <c r="C604" s="6">
        <v>12.653</v>
      </c>
      <c r="D604" s="6">
        <v>7.9032000000000005E-2</v>
      </c>
      <c r="E604" s="6">
        <v>0.32096999999999998</v>
      </c>
      <c r="F604" s="6">
        <v>0.58843999999999996</v>
      </c>
      <c r="G604" s="6">
        <v>116.25</v>
      </c>
      <c r="H604" s="6">
        <v>46.947000000000003</v>
      </c>
      <c r="I604" s="6">
        <v>9851.4</v>
      </c>
      <c r="J604" s="6">
        <v>142.22</v>
      </c>
      <c r="K604" s="6">
        <v>0.54207000000000005</v>
      </c>
      <c r="L604" s="6">
        <v>20.949000000000002</v>
      </c>
      <c r="M604" s="6">
        <v>0.10213999999999999</v>
      </c>
      <c r="N604" s="7">
        <v>2.5347999999999999E-6</v>
      </c>
      <c r="O604" s="6" t="s">
        <v>17</v>
      </c>
    </row>
    <row r="605" spans="1:15" ht="17" x14ac:dyDescent="0.35">
      <c r="A605" s="9">
        <v>126.16</v>
      </c>
      <c r="B605" s="11">
        <v>33.9</v>
      </c>
      <c r="C605" s="6">
        <v>12.333</v>
      </c>
      <c r="D605" s="6">
        <v>8.1082000000000001E-2</v>
      </c>
      <c r="E605" s="6">
        <v>0.3624</v>
      </c>
      <c r="F605" s="6">
        <v>0.63727</v>
      </c>
      <c r="G605" s="6">
        <v>116.64</v>
      </c>
      <c r="H605" s="6" t="s">
        <v>18</v>
      </c>
      <c r="I605" s="6" t="s">
        <v>18</v>
      </c>
      <c r="J605" s="6" t="s">
        <v>18</v>
      </c>
      <c r="K605" s="6">
        <v>0.55952999999999997</v>
      </c>
      <c r="L605" s="6">
        <v>20.327000000000002</v>
      </c>
      <c r="M605" s="6" t="s">
        <v>18</v>
      </c>
      <c r="N605" s="7">
        <v>1.0863000000000001E-6</v>
      </c>
      <c r="O605" s="6" t="s">
        <v>17</v>
      </c>
    </row>
    <row r="607" spans="1:15" ht="72" customHeight="1" x14ac:dyDescent="0.35"/>
    <row r="609" ht="54" customHeight="1" x14ac:dyDescent="0.35"/>
  </sheetData>
  <sortState xmlns:xlrd2="http://schemas.microsoft.com/office/spreadsheetml/2017/richdata2" ref="A5:O605">
    <sortCondition ref="B5:B605"/>
  </sortState>
  <mergeCells count="2">
    <mergeCell ref="I3:N3"/>
    <mergeCell ref="I1:M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9C4DE-4B41-43F7-A772-E119940CA1B6}">
  <dimension ref="A1:N605"/>
  <sheetViews>
    <sheetView workbookViewId="0">
      <selection activeCell="O4" sqref="O4"/>
    </sheetView>
  </sheetViews>
  <sheetFormatPr defaultRowHeight="14.5" x14ac:dyDescent="0.35"/>
  <sheetData>
    <row r="1" spans="1:14" ht="23.5" x14ac:dyDescent="0.35">
      <c r="A1" s="113" t="s">
        <v>19</v>
      </c>
      <c r="B1" s="113"/>
      <c r="C1" s="113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4" x14ac:dyDescent="0.3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</row>
    <row r="3" spans="1:14" ht="17.5" x14ac:dyDescent="0.35">
      <c r="A3" s="112" t="s">
        <v>1</v>
      </c>
      <c r="B3" s="112"/>
      <c r="C3" s="112"/>
      <c r="D3" s="5"/>
      <c r="E3" s="5"/>
      <c r="F3" s="5"/>
      <c r="G3" s="5"/>
      <c r="H3" s="5"/>
      <c r="I3" s="5"/>
      <c r="J3" s="5"/>
      <c r="K3" s="5"/>
      <c r="L3" s="5"/>
      <c r="M3" s="5"/>
      <c r="N3" s="5"/>
    </row>
    <row r="4" spans="1:14" ht="85" x14ac:dyDescent="0.35">
      <c r="A4" s="8" t="s">
        <v>2</v>
      </c>
      <c r="B4" s="10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16</v>
      </c>
    </row>
    <row r="5" spans="1:14" ht="17" x14ac:dyDescent="0.35">
      <c r="A5" s="9">
        <v>63.151000000000003</v>
      </c>
      <c r="B5" s="11">
        <v>0.12520000000000001</v>
      </c>
      <c r="C5" s="6">
        <v>2.4070000000000001E-2</v>
      </c>
      <c r="D5" s="6">
        <v>41.545999999999999</v>
      </c>
      <c r="E5" s="6">
        <v>1.2945</v>
      </c>
      <c r="F5" s="6">
        <v>1.8147</v>
      </c>
      <c r="G5" s="6">
        <v>163.55000000000001</v>
      </c>
      <c r="H5" s="6">
        <v>21.007000000000001</v>
      </c>
      <c r="I5" s="6">
        <v>29.646999999999998</v>
      </c>
      <c r="J5" s="6">
        <v>161.11000000000001</v>
      </c>
      <c r="K5" s="6">
        <v>4.0717999999999996</v>
      </c>
      <c r="L5" s="6">
        <v>4.3762999999999996</v>
      </c>
      <c r="M5" s="6">
        <v>5.6208999999999999E-3</v>
      </c>
      <c r="N5" s="6" t="s">
        <v>20</v>
      </c>
    </row>
    <row r="6" spans="1:14" ht="17" x14ac:dyDescent="0.35">
      <c r="A6" s="9">
        <v>65.244</v>
      </c>
      <c r="B6" s="11">
        <v>0.18149000000000001</v>
      </c>
      <c r="C6" s="6">
        <v>3.3875000000000002E-2</v>
      </c>
      <c r="D6" s="6">
        <v>29.521000000000001</v>
      </c>
      <c r="E6" s="6">
        <v>1.3345</v>
      </c>
      <c r="F6" s="6">
        <v>1.8703000000000001</v>
      </c>
      <c r="G6" s="6">
        <v>161.36000000000001</v>
      </c>
      <c r="H6" s="6">
        <v>21.065999999999999</v>
      </c>
      <c r="I6" s="6">
        <v>29.808</v>
      </c>
      <c r="J6" s="6">
        <v>163.47</v>
      </c>
      <c r="K6" s="6">
        <v>3.7965</v>
      </c>
      <c r="L6" s="6">
        <v>4.5301999999999998</v>
      </c>
      <c r="M6" s="6">
        <v>5.8422999999999999E-3</v>
      </c>
      <c r="N6" s="6" t="s">
        <v>20</v>
      </c>
    </row>
    <row r="7" spans="1:14" ht="17" x14ac:dyDescent="0.35">
      <c r="A7" s="9">
        <v>66.866</v>
      </c>
      <c r="B7" s="11">
        <v>0.23777999999999999</v>
      </c>
      <c r="C7" s="6">
        <v>4.3424999999999998E-2</v>
      </c>
      <c r="D7" s="6">
        <v>23.027999999999999</v>
      </c>
      <c r="E7" s="6">
        <v>1.365</v>
      </c>
      <c r="F7" s="6">
        <v>1.9126000000000001</v>
      </c>
      <c r="G7" s="6">
        <v>159.79</v>
      </c>
      <c r="H7" s="6">
        <v>21.117999999999999</v>
      </c>
      <c r="I7" s="6">
        <v>29.954999999999998</v>
      </c>
      <c r="J7" s="6">
        <v>165.23</v>
      </c>
      <c r="K7" s="6">
        <v>3.6057000000000001</v>
      </c>
      <c r="L7" s="6">
        <v>4.6501000000000001</v>
      </c>
      <c r="M7" s="6">
        <v>6.0153999999999997E-3</v>
      </c>
      <c r="N7" s="6" t="s">
        <v>20</v>
      </c>
    </row>
    <row r="8" spans="1:14" ht="17" x14ac:dyDescent="0.35">
      <c r="A8" s="9">
        <v>68.206000000000003</v>
      </c>
      <c r="B8" s="11">
        <v>0.29407</v>
      </c>
      <c r="C8" s="6">
        <v>5.2787000000000001E-2</v>
      </c>
      <c r="D8" s="6">
        <v>18.943999999999999</v>
      </c>
      <c r="E8" s="6">
        <v>1.3896999999999999</v>
      </c>
      <c r="F8" s="6">
        <v>1.9468000000000001</v>
      </c>
      <c r="G8" s="6">
        <v>158.56</v>
      </c>
      <c r="H8" s="6">
        <v>21.166</v>
      </c>
      <c r="I8" s="6">
        <v>30.091999999999999</v>
      </c>
      <c r="J8" s="6">
        <v>166.62</v>
      </c>
      <c r="K8" s="6">
        <v>3.4609999999999999</v>
      </c>
      <c r="L8" s="6">
        <v>4.7496</v>
      </c>
      <c r="M8" s="6">
        <v>6.1596000000000003E-3</v>
      </c>
      <c r="N8" s="6" t="s">
        <v>20</v>
      </c>
    </row>
    <row r="9" spans="1:14" ht="17" x14ac:dyDescent="0.35">
      <c r="A9" s="9">
        <v>69.355000000000004</v>
      </c>
      <c r="B9" s="11">
        <v>0.35036</v>
      </c>
      <c r="C9" s="6">
        <v>6.2001000000000001E-2</v>
      </c>
      <c r="D9" s="6">
        <v>16.129000000000001</v>
      </c>
      <c r="E9" s="6">
        <v>1.4106000000000001</v>
      </c>
      <c r="F9" s="6">
        <v>1.9757</v>
      </c>
      <c r="G9" s="6">
        <v>157.55000000000001</v>
      </c>
      <c r="H9" s="6">
        <v>21.21</v>
      </c>
      <c r="I9" s="6">
        <v>30.222000000000001</v>
      </c>
      <c r="J9" s="6">
        <v>167.79</v>
      </c>
      <c r="K9" s="6">
        <v>3.3454000000000002</v>
      </c>
      <c r="L9" s="6">
        <v>4.8353000000000002</v>
      </c>
      <c r="M9" s="6">
        <v>6.2842999999999996E-3</v>
      </c>
      <c r="N9" s="6" t="s">
        <v>20</v>
      </c>
    </row>
    <row r="10" spans="1:14" ht="17" x14ac:dyDescent="0.35">
      <c r="A10" s="9">
        <v>70.367999999999995</v>
      </c>
      <c r="B10" s="11">
        <v>0.40665000000000001</v>
      </c>
      <c r="C10" s="6">
        <v>7.1094000000000004E-2</v>
      </c>
      <c r="D10" s="6">
        <v>14.066000000000001</v>
      </c>
      <c r="E10" s="6">
        <v>1.4288000000000001</v>
      </c>
      <c r="F10" s="6">
        <v>2.0007999999999999</v>
      </c>
      <c r="G10" s="6">
        <v>156.69999999999999</v>
      </c>
      <c r="H10" s="6">
        <v>21.251000000000001</v>
      </c>
      <c r="I10" s="6">
        <v>30.344999999999999</v>
      </c>
      <c r="J10" s="6">
        <v>168.78</v>
      </c>
      <c r="K10" s="6">
        <v>3.2494999999999998</v>
      </c>
      <c r="L10" s="6">
        <v>4.9109999999999996</v>
      </c>
      <c r="M10" s="6">
        <v>6.3949000000000002E-3</v>
      </c>
      <c r="N10" s="6" t="s">
        <v>20</v>
      </c>
    </row>
    <row r="11" spans="1:14" ht="17" x14ac:dyDescent="0.35">
      <c r="A11" s="9">
        <v>71.275000000000006</v>
      </c>
      <c r="B11" s="11">
        <v>0.46294999999999997</v>
      </c>
      <c r="C11" s="6">
        <v>8.0086000000000004E-2</v>
      </c>
      <c r="D11" s="6">
        <v>12.487</v>
      </c>
      <c r="E11" s="6">
        <v>1.4448000000000001</v>
      </c>
      <c r="F11" s="6">
        <v>2.0228999999999999</v>
      </c>
      <c r="G11" s="6">
        <v>155.96</v>
      </c>
      <c r="H11" s="6">
        <v>21.29</v>
      </c>
      <c r="I11" s="6">
        <v>30.463999999999999</v>
      </c>
      <c r="J11" s="6">
        <v>169.65</v>
      </c>
      <c r="K11" s="6">
        <v>3.1678000000000002</v>
      </c>
      <c r="L11" s="6">
        <v>4.9791999999999996</v>
      </c>
      <c r="M11" s="6">
        <v>6.4948999999999996E-3</v>
      </c>
      <c r="N11" s="6" t="s">
        <v>20</v>
      </c>
    </row>
    <row r="12" spans="1:14" ht="17" x14ac:dyDescent="0.35">
      <c r="A12" s="9">
        <v>72.099999999999994</v>
      </c>
      <c r="B12" s="11">
        <v>0.51924000000000003</v>
      </c>
      <c r="C12" s="6">
        <v>8.899E-2</v>
      </c>
      <c r="D12" s="6">
        <v>11.237</v>
      </c>
      <c r="E12" s="6">
        <v>1.4592000000000001</v>
      </c>
      <c r="F12" s="6">
        <v>2.0427</v>
      </c>
      <c r="G12" s="6">
        <v>155.30000000000001</v>
      </c>
      <c r="H12" s="6">
        <v>21.327000000000002</v>
      </c>
      <c r="I12" s="6">
        <v>30.579000000000001</v>
      </c>
      <c r="J12" s="6">
        <v>170.41</v>
      </c>
      <c r="K12" s="6">
        <v>3.097</v>
      </c>
      <c r="L12" s="6">
        <v>5.0414000000000003</v>
      </c>
      <c r="M12" s="6">
        <v>6.5864000000000001E-3</v>
      </c>
      <c r="N12" s="6" t="s">
        <v>20</v>
      </c>
    </row>
    <row r="13" spans="1:14" ht="17" x14ac:dyDescent="0.35">
      <c r="A13" s="9">
        <v>72.858000000000004</v>
      </c>
      <c r="B13" s="11">
        <v>0.57552999999999999</v>
      </c>
      <c r="C13" s="6">
        <v>9.7819000000000003E-2</v>
      </c>
      <c r="D13" s="6">
        <v>10.223000000000001</v>
      </c>
      <c r="E13" s="6">
        <v>1.4722</v>
      </c>
      <c r="F13" s="6">
        <v>2.0606</v>
      </c>
      <c r="G13" s="6">
        <v>154.72</v>
      </c>
      <c r="H13" s="6">
        <v>21.363</v>
      </c>
      <c r="I13" s="6">
        <v>30.690999999999999</v>
      </c>
      <c r="J13" s="6">
        <v>171.1</v>
      </c>
      <c r="K13" s="6">
        <v>3.0345</v>
      </c>
      <c r="L13" s="6">
        <v>5.0987999999999998</v>
      </c>
      <c r="M13" s="6">
        <v>6.6711000000000001E-3</v>
      </c>
      <c r="N13" s="6" t="s">
        <v>20</v>
      </c>
    </row>
    <row r="14" spans="1:14" ht="17" x14ac:dyDescent="0.35">
      <c r="A14" s="9">
        <v>73.561000000000007</v>
      </c>
      <c r="B14" s="11">
        <v>0.63182000000000005</v>
      </c>
      <c r="C14" s="6">
        <v>0.10657999999999999</v>
      </c>
      <c r="D14" s="6">
        <v>9.3826000000000001</v>
      </c>
      <c r="E14" s="6">
        <v>1.4842</v>
      </c>
      <c r="F14" s="6">
        <v>2.077</v>
      </c>
      <c r="G14" s="6">
        <v>154.19</v>
      </c>
      <c r="H14" s="6">
        <v>21.396999999999998</v>
      </c>
      <c r="I14" s="6">
        <v>30.8</v>
      </c>
      <c r="J14" s="6">
        <v>171.72</v>
      </c>
      <c r="K14" s="6">
        <v>2.9788000000000001</v>
      </c>
      <c r="L14" s="6">
        <v>5.1521999999999997</v>
      </c>
      <c r="M14" s="6">
        <v>6.7501000000000002E-3</v>
      </c>
      <c r="N14" s="6" t="s">
        <v>20</v>
      </c>
    </row>
    <row r="15" spans="1:14" ht="17" x14ac:dyDescent="0.35">
      <c r="A15" s="9">
        <v>74.215999999999994</v>
      </c>
      <c r="B15" s="11">
        <v>0.68811</v>
      </c>
      <c r="C15" s="6">
        <v>0.11527999999999999</v>
      </c>
      <c r="D15" s="6">
        <v>8.6744000000000003</v>
      </c>
      <c r="E15" s="6">
        <v>1.4952000000000001</v>
      </c>
      <c r="F15" s="6">
        <v>2.0920999999999998</v>
      </c>
      <c r="G15" s="6">
        <v>153.71</v>
      </c>
      <c r="H15" s="6">
        <v>21.431000000000001</v>
      </c>
      <c r="I15" s="6">
        <v>30.905999999999999</v>
      </c>
      <c r="J15" s="6">
        <v>172.29</v>
      </c>
      <c r="K15" s="6">
        <v>2.9285999999999999</v>
      </c>
      <c r="L15" s="6">
        <v>5.2020999999999997</v>
      </c>
      <c r="M15" s="6">
        <v>6.8243000000000002E-3</v>
      </c>
      <c r="N15" s="6" t="s">
        <v>20</v>
      </c>
    </row>
    <row r="16" spans="1:14" ht="17" x14ac:dyDescent="0.35">
      <c r="A16" s="9">
        <v>74.831000000000003</v>
      </c>
      <c r="B16" s="11">
        <v>0.74439999999999995</v>
      </c>
      <c r="C16" s="6">
        <v>0.12393</v>
      </c>
      <c r="D16" s="6">
        <v>8.0690000000000008</v>
      </c>
      <c r="E16" s="6">
        <v>1.5054000000000001</v>
      </c>
      <c r="F16" s="6">
        <v>2.1061000000000001</v>
      </c>
      <c r="G16" s="6">
        <v>153.26</v>
      </c>
      <c r="H16" s="6">
        <v>21.463000000000001</v>
      </c>
      <c r="I16" s="6">
        <v>31.01</v>
      </c>
      <c r="J16" s="6">
        <v>172.81</v>
      </c>
      <c r="K16" s="6">
        <v>2.883</v>
      </c>
      <c r="L16" s="6">
        <v>5.2492000000000001</v>
      </c>
      <c r="M16" s="6">
        <v>6.8944999999999996E-3</v>
      </c>
      <c r="N16" s="6" t="s">
        <v>20</v>
      </c>
    </row>
    <row r="17" spans="1:14" ht="17" x14ac:dyDescent="0.35">
      <c r="A17" s="9">
        <v>75.412000000000006</v>
      </c>
      <c r="B17" s="11">
        <v>0.80069000000000001</v>
      </c>
      <c r="C17" s="6">
        <v>0.13253000000000001</v>
      </c>
      <c r="D17" s="6">
        <v>7.5453999999999999</v>
      </c>
      <c r="E17" s="6">
        <v>1.5148999999999999</v>
      </c>
      <c r="F17" s="6">
        <v>2.1191</v>
      </c>
      <c r="G17" s="6">
        <v>152.85</v>
      </c>
      <c r="H17" s="6">
        <v>21.494</v>
      </c>
      <c r="I17" s="6">
        <v>31.111999999999998</v>
      </c>
      <c r="J17" s="6">
        <v>173.29</v>
      </c>
      <c r="K17" s="6">
        <v>2.8412000000000002</v>
      </c>
      <c r="L17" s="6">
        <v>5.2937000000000003</v>
      </c>
      <c r="M17" s="6">
        <v>6.9610999999999996E-3</v>
      </c>
      <c r="N17" s="6" t="s">
        <v>20</v>
      </c>
    </row>
    <row r="18" spans="1:14" ht="17" x14ac:dyDescent="0.35">
      <c r="A18" s="9">
        <v>75.962000000000003</v>
      </c>
      <c r="B18" s="11">
        <v>0.85699000000000003</v>
      </c>
      <c r="C18" s="6">
        <v>0.14108999999999999</v>
      </c>
      <c r="D18" s="6">
        <v>7.0877999999999997</v>
      </c>
      <c r="E18" s="6">
        <v>1.5239</v>
      </c>
      <c r="F18" s="6">
        <v>2.1313</v>
      </c>
      <c r="G18" s="6">
        <v>152.47</v>
      </c>
      <c r="H18" s="6">
        <v>21.524999999999999</v>
      </c>
      <c r="I18" s="6">
        <v>31.213000000000001</v>
      </c>
      <c r="J18" s="6">
        <v>173.74</v>
      </c>
      <c r="K18" s="6">
        <v>2.8027000000000002</v>
      </c>
      <c r="L18" s="6">
        <v>5.3361000000000001</v>
      </c>
      <c r="M18" s="6">
        <v>7.0245999999999998E-3</v>
      </c>
      <c r="N18" s="6" t="s">
        <v>20</v>
      </c>
    </row>
    <row r="19" spans="1:14" ht="17" x14ac:dyDescent="0.35">
      <c r="A19" s="9">
        <v>76.483999999999995</v>
      </c>
      <c r="B19" s="11">
        <v>0.91327999999999998</v>
      </c>
      <c r="C19" s="6">
        <v>0.14960000000000001</v>
      </c>
      <c r="D19" s="6">
        <v>6.6843000000000004</v>
      </c>
      <c r="E19" s="6">
        <v>1.5323</v>
      </c>
      <c r="F19" s="6">
        <v>2.1427</v>
      </c>
      <c r="G19" s="6">
        <v>152.11000000000001</v>
      </c>
      <c r="H19" s="6">
        <v>21.555</v>
      </c>
      <c r="I19" s="6">
        <v>31.312000000000001</v>
      </c>
      <c r="J19" s="6">
        <v>174.15</v>
      </c>
      <c r="K19" s="6">
        <v>2.7671000000000001</v>
      </c>
      <c r="L19" s="6">
        <v>5.3765000000000001</v>
      </c>
      <c r="M19" s="6">
        <v>7.0854000000000004E-3</v>
      </c>
      <c r="N19" s="6" t="s">
        <v>20</v>
      </c>
    </row>
    <row r="20" spans="1:14" ht="17" x14ac:dyDescent="0.35">
      <c r="A20" s="9">
        <v>76.983000000000004</v>
      </c>
      <c r="B20" s="11">
        <v>0.96957000000000004</v>
      </c>
      <c r="C20" s="6">
        <v>0.15808</v>
      </c>
      <c r="D20" s="6">
        <v>6.3258000000000001</v>
      </c>
      <c r="E20" s="6">
        <v>1.5402</v>
      </c>
      <c r="F20" s="6">
        <v>2.1535000000000002</v>
      </c>
      <c r="G20" s="6">
        <v>151.77000000000001</v>
      </c>
      <c r="H20" s="6">
        <v>21.584</v>
      </c>
      <c r="I20" s="6">
        <v>31.41</v>
      </c>
      <c r="J20" s="6">
        <v>174.54</v>
      </c>
      <c r="K20" s="6">
        <v>2.7339000000000002</v>
      </c>
      <c r="L20" s="6">
        <v>5.4150999999999998</v>
      </c>
      <c r="M20" s="6">
        <v>7.1437999999999996E-3</v>
      </c>
      <c r="N20" s="6" t="s">
        <v>20</v>
      </c>
    </row>
    <row r="21" spans="1:14" ht="17" x14ac:dyDescent="0.35">
      <c r="A21" s="9">
        <v>77.459999999999994</v>
      </c>
      <c r="B21" s="11">
        <v>1.0259</v>
      </c>
      <c r="C21" s="6">
        <v>0.16653000000000001</v>
      </c>
      <c r="D21" s="6">
        <v>6.0049999999999999</v>
      </c>
      <c r="E21" s="6">
        <v>1.5477000000000001</v>
      </c>
      <c r="F21" s="6">
        <v>2.1637</v>
      </c>
      <c r="G21" s="6">
        <v>151.46</v>
      </c>
      <c r="H21" s="6">
        <v>21.611999999999998</v>
      </c>
      <c r="I21" s="6">
        <v>31.507000000000001</v>
      </c>
      <c r="J21" s="6">
        <v>174.9</v>
      </c>
      <c r="K21" s="6">
        <v>2.7029000000000001</v>
      </c>
      <c r="L21" s="6">
        <v>5.4522000000000004</v>
      </c>
      <c r="M21" s="6">
        <v>7.1999999999999998E-3</v>
      </c>
      <c r="N21" s="6" t="s">
        <v>20</v>
      </c>
    </row>
    <row r="22" spans="1:14" ht="17" x14ac:dyDescent="0.35">
      <c r="A22" s="9">
        <v>77.917000000000002</v>
      </c>
      <c r="B22" s="11">
        <v>1.0822000000000001</v>
      </c>
      <c r="C22" s="6">
        <v>0.17494000000000001</v>
      </c>
      <c r="D22" s="6">
        <v>5.7161</v>
      </c>
      <c r="E22" s="6">
        <v>1.5548</v>
      </c>
      <c r="F22" s="6">
        <v>2.1732999999999998</v>
      </c>
      <c r="G22" s="6">
        <v>151.16</v>
      </c>
      <c r="H22" s="6">
        <v>21.64</v>
      </c>
      <c r="I22" s="6">
        <v>31.602</v>
      </c>
      <c r="J22" s="6">
        <v>175.25</v>
      </c>
      <c r="K22" s="6">
        <v>2.6738</v>
      </c>
      <c r="L22" s="6">
        <v>5.4878999999999998</v>
      </c>
      <c r="M22" s="6">
        <v>7.2541999999999997E-3</v>
      </c>
      <c r="N22" s="6" t="s">
        <v>20</v>
      </c>
    </row>
    <row r="23" spans="1:14" ht="17" x14ac:dyDescent="0.35">
      <c r="A23" s="9">
        <v>78.356999999999999</v>
      </c>
      <c r="B23" s="11">
        <v>1.1384000000000001</v>
      </c>
      <c r="C23" s="6">
        <v>0.18332999999999999</v>
      </c>
      <c r="D23" s="6">
        <v>5.4546999999999999</v>
      </c>
      <c r="E23" s="6">
        <v>1.5615000000000001</v>
      </c>
      <c r="F23" s="6">
        <v>2.1825000000000001</v>
      </c>
      <c r="G23" s="6">
        <v>150.87</v>
      </c>
      <c r="H23" s="6">
        <v>21.667999999999999</v>
      </c>
      <c r="I23" s="6">
        <v>31.696000000000002</v>
      </c>
      <c r="J23" s="6">
        <v>175.57</v>
      </c>
      <c r="K23" s="6">
        <v>2.6465000000000001</v>
      </c>
      <c r="L23" s="6">
        <v>5.5221999999999998</v>
      </c>
      <c r="M23" s="6">
        <v>7.3065999999999999E-3</v>
      </c>
      <c r="N23" s="6" t="s">
        <v>20</v>
      </c>
    </row>
    <row r="24" spans="1:14" ht="17" x14ac:dyDescent="0.35">
      <c r="A24" s="9">
        <v>78.78</v>
      </c>
      <c r="B24" s="11">
        <v>1.1947000000000001</v>
      </c>
      <c r="C24" s="6">
        <v>0.19169</v>
      </c>
      <c r="D24" s="6">
        <v>5.2168000000000001</v>
      </c>
      <c r="E24" s="6">
        <v>1.5680000000000001</v>
      </c>
      <c r="F24" s="6">
        <v>2.1913</v>
      </c>
      <c r="G24" s="6">
        <v>150.6</v>
      </c>
      <c r="H24" s="6">
        <v>21.695</v>
      </c>
      <c r="I24" s="6">
        <v>31.79</v>
      </c>
      <c r="J24" s="6">
        <v>175.87</v>
      </c>
      <c r="K24" s="6">
        <v>2.6206</v>
      </c>
      <c r="L24" s="6">
        <v>5.5555000000000003</v>
      </c>
      <c r="M24" s="6">
        <v>7.3575000000000003E-3</v>
      </c>
      <c r="N24" s="6" t="s">
        <v>20</v>
      </c>
    </row>
    <row r="25" spans="1:14" ht="17" x14ac:dyDescent="0.35">
      <c r="A25" s="9">
        <v>79.188999999999993</v>
      </c>
      <c r="B25" s="11">
        <v>1.2509999999999999</v>
      </c>
      <c r="C25" s="6">
        <v>0.20002</v>
      </c>
      <c r="D25" s="6">
        <v>4.9993999999999996</v>
      </c>
      <c r="E25" s="6">
        <v>1.5741000000000001</v>
      </c>
      <c r="F25" s="6">
        <v>2.1996000000000002</v>
      </c>
      <c r="G25" s="6">
        <v>150.34</v>
      </c>
      <c r="H25" s="6">
        <v>21.721</v>
      </c>
      <c r="I25" s="6">
        <v>31.882999999999999</v>
      </c>
      <c r="J25" s="6">
        <v>176.16</v>
      </c>
      <c r="K25" s="6">
        <v>2.5962000000000001</v>
      </c>
      <c r="L25" s="6">
        <v>5.5876000000000001</v>
      </c>
      <c r="M25" s="6">
        <v>7.4067999999999998E-3</v>
      </c>
      <c r="N25" s="6" t="s">
        <v>20</v>
      </c>
    </row>
    <row r="26" spans="1:14" ht="17" x14ac:dyDescent="0.35">
      <c r="A26" s="9">
        <v>79.584000000000003</v>
      </c>
      <c r="B26" s="11">
        <v>1.3072999999999999</v>
      </c>
      <c r="C26" s="6">
        <v>0.20832999999999999</v>
      </c>
      <c r="D26" s="6">
        <v>4.8</v>
      </c>
      <c r="E26" s="6">
        <v>1.58</v>
      </c>
      <c r="F26" s="6">
        <v>2.2075</v>
      </c>
      <c r="G26" s="6">
        <v>150.09</v>
      </c>
      <c r="H26" s="6">
        <v>21.748000000000001</v>
      </c>
      <c r="I26" s="6">
        <v>31.974</v>
      </c>
      <c r="J26" s="6">
        <v>176.44</v>
      </c>
      <c r="K26" s="6">
        <v>2.573</v>
      </c>
      <c r="L26" s="6">
        <v>5.6188000000000002</v>
      </c>
      <c r="M26" s="6">
        <v>7.4548000000000001E-3</v>
      </c>
      <c r="N26" s="6" t="s">
        <v>20</v>
      </c>
    </row>
    <row r="27" spans="1:14" ht="17" x14ac:dyDescent="0.35">
      <c r="A27" s="9">
        <v>79.965999999999994</v>
      </c>
      <c r="B27" s="11">
        <v>1.3635999999999999</v>
      </c>
      <c r="C27" s="6">
        <v>0.21662000000000001</v>
      </c>
      <c r="D27" s="6">
        <v>4.6162999999999998</v>
      </c>
      <c r="E27" s="6">
        <v>1.5857000000000001</v>
      </c>
      <c r="F27" s="6">
        <v>2.2151999999999998</v>
      </c>
      <c r="G27" s="6">
        <v>149.86000000000001</v>
      </c>
      <c r="H27" s="6">
        <v>21.773</v>
      </c>
      <c r="I27" s="6">
        <v>32.064999999999998</v>
      </c>
      <c r="J27" s="6">
        <v>176.7</v>
      </c>
      <c r="K27" s="6">
        <v>2.5508999999999999</v>
      </c>
      <c r="L27" s="6">
        <v>5.649</v>
      </c>
      <c r="M27" s="6">
        <v>7.5015000000000004E-3</v>
      </c>
      <c r="N27" s="6" t="s">
        <v>20</v>
      </c>
    </row>
    <row r="28" spans="1:14" ht="17" x14ac:dyDescent="0.35">
      <c r="A28" s="9">
        <v>80.335999999999999</v>
      </c>
      <c r="B28" s="11">
        <v>1.4198999999999999</v>
      </c>
      <c r="C28" s="6">
        <v>0.22489000000000001</v>
      </c>
      <c r="D28" s="6">
        <v>4.4466000000000001</v>
      </c>
      <c r="E28" s="6">
        <v>1.5911</v>
      </c>
      <c r="F28" s="6">
        <v>2.2225000000000001</v>
      </c>
      <c r="G28" s="6">
        <v>149.63</v>
      </c>
      <c r="H28" s="6">
        <v>21.798999999999999</v>
      </c>
      <c r="I28" s="6">
        <v>32.155999999999999</v>
      </c>
      <c r="J28" s="6">
        <v>176.95</v>
      </c>
      <c r="K28" s="6">
        <v>2.5299</v>
      </c>
      <c r="L28" s="6">
        <v>5.6783999999999999</v>
      </c>
      <c r="M28" s="6">
        <v>7.5471000000000002E-3</v>
      </c>
      <c r="N28" s="6" t="s">
        <v>20</v>
      </c>
    </row>
    <row r="29" spans="1:14" ht="17" x14ac:dyDescent="0.35">
      <c r="A29" s="9">
        <v>80.695999999999998</v>
      </c>
      <c r="B29" s="11">
        <v>1.4762</v>
      </c>
      <c r="C29" s="6">
        <v>0.23313999999999999</v>
      </c>
      <c r="D29" s="6">
        <v>4.2892000000000001</v>
      </c>
      <c r="E29" s="6">
        <v>1.5963000000000001</v>
      </c>
      <c r="F29" s="6">
        <v>2.2294999999999998</v>
      </c>
      <c r="G29" s="6">
        <v>149.41</v>
      </c>
      <c r="H29" s="6">
        <v>21.824000000000002</v>
      </c>
      <c r="I29" s="6">
        <v>32.246000000000002</v>
      </c>
      <c r="J29" s="6">
        <v>177.18</v>
      </c>
      <c r="K29" s="6">
        <v>2.5099</v>
      </c>
      <c r="L29" s="6">
        <v>5.7069999999999999</v>
      </c>
      <c r="M29" s="6">
        <v>7.5916000000000004E-3</v>
      </c>
      <c r="N29" s="6" t="s">
        <v>20</v>
      </c>
    </row>
    <row r="30" spans="1:14" ht="17" x14ac:dyDescent="0.35">
      <c r="A30" s="9">
        <v>81.045000000000002</v>
      </c>
      <c r="B30" s="11">
        <v>1.5325</v>
      </c>
      <c r="C30" s="6">
        <v>0.24137</v>
      </c>
      <c r="D30" s="6">
        <v>4.1429999999999998</v>
      </c>
      <c r="E30" s="6">
        <v>1.6012999999999999</v>
      </c>
      <c r="F30" s="6">
        <v>2.2362000000000002</v>
      </c>
      <c r="G30" s="6">
        <v>149.19999999999999</v>
      </c>
      <c r="H30" s="6">
        <v>21.849</v>
      </c>
      <c r="I30" s="6">
        <v>32.335000000000001</v>
      </c>
      <c r="J30" s="6">
        <v>177.41</v>
      </c>
      <c r="K30" s="6">
        <v>2.4906999999999999</v>
      </c>
      <c r="L30" s="6">
        <v>5.7348999999999997</v>
      </c>
      <c r="M30" s="6">
        <v>7.6350999999999997E-3</v>
      </c>
      <c r="N30" s="6" t="s">
        <v>20</v>
      </c>
    </row>
    <row r="31" spans="1:14" ht="17" x14ac:dyDescent="0.35">
      <c r="A31" s="9">
        <v>81.385000000000005</v>
      </c>
      <c r="B31" s="11">
        <v>1.5888</v>
      </c>
      <c r="C31" s="6">
        <v>0.24959000000000001</v>
      </c>
      <c r="D31" s="6">
        <v>4.0065999999999997</v>
      </c>
      <c r="E31" s="6">
        <v>1.6061000000000001</v>
      </c>
      <c r="F31" s="6">
        <v>2.2427000000000001</v>
      </c>
      <c r="G31" s="6">
        <v>149</v>
      </c>
      <c r="H31" s="6">
        <v>21.873000000000001</v>
      </c>
      <c r="I31" s="6">
        <v>32.423999999999999</v>
      </c>
      <c r="J31" s="6">
        <v>177.62</v>
      </c>
      <c r="K31" s="6">
        <v>2.4723000000000002</v>
      </c>
      <c r="L31" s="6">
        <v>5.7621000000000002</v>
      </c>
      <c r="M31" s="6">
        <v>7.6777E-3</v>
      </c>
      <c r="N31" s="6" t="s">
        <v>20</v>
      </c>
    </row>
    <row r="32" spans="1:14" ht="17" x14ac:dyDescent="0.35">
      <c r="A32" s="9">
        <v>81.715000000000003</v>
      </c>
      <c r="B32" s="11">
        <v>1.6451</v>
      </c>
      <c r="C32" s="6">
        <v>0.25779000000000002</v>
      </c>
      <c r="D32" s="6">
        <v>3.8791000000000002</v>
      </c>
      <c r="E32" s="6">
        <v>1.6108</v>
      </c>
      <c r="F32" s="6">
        <v>2.2488999999999999</v>
      </c>
      <c r="G32" s="6">
        <v>148.80000000000001</v>
      </c>
      <c r="H32" s="6">
        <v>21.896999999999998</v>
      </c>
      <c r="I32" s="6">
        <v>32.512</v>
      </c>
      <c r="J32" s="6">
        <v>177.83</v>
      </c>
      <c r="K32" s="6">
        <v>2.4546000000000001</v>
      </c>
      <c r="L32" s="6">
        <v>5.7885999999999997</v>
      </c>
      <c r="M32" s="6">
        <v>7.7194000000000004E-3</v>
      </c>
      <c r="N32" s="6" t="s">
        <v>20</v>
      </c>
    </row>
    <row r="33" spans="1:14" ht="17" x14ac:dyDescent="0.35">
      <c r="A33" s="9">
        <v>82.037999999999997</v>
      </c>
      <c r="B33" s="11">
        <v>1.7014</v>
      </c>
      <c r="C33" s="6">
        <v>0.26596999999999998</v>
      </c>
      <c r="D33" s="6">
        <v>3.7597999999999998</v>
      </c>
      <c r="E33" s="6">
        <v>1.6153</v>
      </c>
      <c r="F33" s="6">
        <v>2.2549000000000001</v>
      </c>
      <c r="G33" s="6">
        <v>148.61000000000001</v>
      </c>
      <c r="H33" s="6">
        <v>21.920999999999999</v>
      </c>
      <c r="I33" s="6">
        <v>32.6</v>
      </c>
      <c r="J33" s="6">
        <v>178.03</v>
      </c>
      <c r="K33" s="6">
        <v>2.4377</v>
      </c>
      <c r="L33" s="6">
        <v>5.8146000000000004</v>
      </c>
      <c r="M33" s="6">
        <v>7.7602000000000001E-3</v>
      </c>
      <c r="N33" s="6" t="s">
        <v>20</v>
      </c>
    </row>
    <row r="34" spans="1:14" ht="17" x14ac:dyDescent="0.35">
      <c r="A34" s="9">
        <v>82.352000000000004</v>
      </c>
      <c r="B34" s="11">
        <v>1.7576000000000001</v>
      </c>
      <c r="C34" s="6">
        <v>0.27415</v>
      </c>
      <c r="D34" s="6">
        <v>3.6476999999999999</v>
      </c>
      <c r="E34" s="6">
        <v>1.6195999999999999</v>
      </c>
      <c r="F34" s="6">
        <v>2.2606999999999999</v>
      </c>
      <c r="G34" s="6">
        <v>148.43</v>
      </c>
      <c r="H34" s="6">
        <v>21.945</v>
      </c>
      <c r="I34" s="6">
        <v>32.686999999999998</v>
      </c>
      <c r="J34" s="6">
        <v>178.22</v>
      </c>
      <c r="K34" s="6">
        <v>2.4214000000000002</v>
      </c>
      <c r="L34" s="6">
        <v>5.8399000000000001</v>
      </c>
      <c r="M34" s="6">
        <v>7.8002999999999996E-3</v>
      </c>
      <c r="N34" s="6" t="s">
        <v>20</v>
      </c>
    </row>
    <row r="35" spans="1:14" ht="17" x14ac:dyDescent="0.35">
      <c r="A35" s="9">
        <v>82.659000000000006</v>
      </c>
      <c r="B35" s="11">
        <v>1.8139000000000001</v>
      </c>
      <c r="C35" s="6">
        <v>0.28231000000000001</v>
      </c>
      <c r="D35" s="6">
        <v>3.5423</v>
      </c>
      <c r="E35" s="6">
        <v>1.6237999999999999</v>
      </c>
      <c r="F35" s="6">
        <v>2.2663000000000002</v>
      </c>
      <c r="G35" s="6">
        <v>148.25</v>
      </c>
      <c r="H35" s="6">
        <v>21.968</v>
      </c>
      <c r="I35" s="6">
        <v>32.774000000000001</v>
      </c>
      <c r="J35" s="6">
        <v>178.4</v>
      </c>
      <c r="K35" s="6">
        <v>2.4056999999999999</v>
      </c>
      <c r="L35" s="6">
        <v>5.8647999999999998</v>
      </c>
      <c r="M35" s="6">
        <v>7.8396999999999998E-3</v>
      </c>
      <c r="N35" s="6" t="s">
        <v>20</v>
      </c>
    </row>
    <row r="36" spans="1:14" ht="17" x14ac:dyDescent="0.35">
      <c r="A36" s="9">
        <v>82.959000000000003</v>
      </c>
      <c r="B36" s="11">
        <v>1.8702000000000001</v>
      </c>
      <c r="C36" s="6">
        <v>0.29044999999999999</v>
      </c>
      <c r="D36" s="6">
        <v>3.4428999999999998</v>
      </c>
      <c r="E36" s="6">
        <v>1.6277999999999999</v>
      </c>
      <c r="F36" s="6">
        <v>2.2717000000000001</v>
      </c>
      <c r="G36" s="6">
        <v>148.08000000000001</v>
      </c>
      <c r="H36" s="6">
        <v>21.991</v>
      </c>
      <c r="I36" s="6">
        <v>32.860999999999997</v>
      </c>
      <c r="J36" s="6">
        <v>178.57</v>
      </c>
      <c r="K36" s="6">
        <v>2.3904999999999998</v>
      </c>
      <c r="L36" s="6">
        <v>5.8891</v>
      </c>
      <c r="M36" s="6">
        <v>7.8785000000000001E-3</v>
      </c>
      <c r="N36" s="6" t="s">
        <v>20</v>
      </c>
    </row>
    <row r="37" spans="1:14" ht="17" x14ac:dyDescent="0.35">
      <c r="A37" s="9">
        <v>83.251999999999995</v>
      </c>
      <c r="B37" s="11">
        <v>1.9265000000000001</v>
      </c>
      <c r="C37" s="6">
        <v>0.29859000000000002</v>
      </c>
      <c r="D37" s="6">
        <v>3.3491</v>
      </c>
      <c r="E37" s="6">
        <v>1.6317999999999999</v>
      </c>
      <c r="F37" s="6">
        <v>2.2770000000000001</v>
      </c>
      <c r="G37" s="6">
        <v>147.91999999999999</v>
      </c>
      <c r="H37" s="6">
        <v>22.013999999999999</v>
      </c>
      <c r="I37" s="6">
        <v>32.947000000000003</v>
      </c>
      <c r="J37" s="6">
        <v>178.74</v>
      </c>
      <c r="K37" s="6">
        <v>2.3759000000000001</v>
      </c>
      <c r="L37" s="6">
        <v>5.9130000000000003</v>
      </c>
      <c r="M37" s="6">
        <v>7.9164999999999999E-3</v>
      </c>
      <c r="N37" s="6" t="s">
        <v>20</v>
      </c>
    </row>
    <row r="38" spans="1:14" ht="17" x14ac:dyDescent="0.35">
      <c r="A38" s="9">
        <v>83.539000000000001</v>
      </c>
      <c r="B38" s="11">
        <v>1.9827999999999999</v>
      </c>
      <c r="C38" s="6">
        <v>0.30670999999999998</v>
      </c>
      <c r="D38" s="6">
        <v>3.2604000000000002</v>
      </c>
      <c r="E38" s="6">
        <v>1.6355999999999999</v>
      </c>
      <c r="F38" s="6">
        <v>2.2820999999999998</v>
      </c>
      <c r="G38" s="6">
        <v>147.75</v>
      </c>
      <c r="H38" s="6">
        <v>22.036999999999999</v>
      </c>
      <c r="I38" s="6">
        <v>33.033000000000001</v>
      </c>
      <c r="J38" s="6">
        <v>178.9</v>
      </c>
      <c r="K38" s="6">
        <v>2.3616999999999999</v>
      </c>
      <c r="L38" s="6">
        <v>5.9363999999999999</v>
      </c>
      <c r="M38" s="6">
        <v>7.9539999999999993E-3</v>
      </c>
      <c r="N38" s="6" t="s">
        <v>20</v>
      </c>
    </row>
    <row r="39" spans="1:14" ht="17" x14ac:dyDescent="0.35">
      <c r="A39" s="9">
        <v>83.82</v>
      </c>
      <c r="B39" s="11">
        <v>2.0390999999999999</v>
      </c>
      <c r="C39" s="6">
        <v>0.31483</v>
      </c>
      <c r="D39" s="6">
        <v>3.1762999999999999</v>
      </c>
      <c r="E39" s="6">
        <v>1.6393</v>
      </c>
      <c r="F39" s="6">
        <v>2.2869999999999999</v>
      </c>
      <c r="G39" s="6">
        <v>147.6</v>
      </c>
      <c r="H39" s="6">
        <v>22.059000000000001</v>
      </c>
      <c r="I39" s="6">
        <v>33.119</v>
      </c>
      <c r="J39" s="6">
        <v>179.06</v>
      </c>
      <c r="K39" s="6">
        <v>2.3479999999999999</v>
      </c>
      <c r="L39" s="6">
        <v>5.9592999999999998</v>
      </c>
      <c r="M39" s="6">
        <v>7.9909000000000004E-3</v>
      </c>
      <c r="N39" s="6" t="s">
        <v>20</v>
      </c>
    </row>
    <row r="40" spans="1:14" ht="17" x14ac:dyDescent="0.35">
      <c r="A40" s="9">
        <v>84.094999999999999</v>
      </c>
      <c r="B40" s="11">
        <v>2.0954000000000002</v>
      </c>
      <c r="C40" s="6">
        <v>0.32292999999999999</v>
      </c>
      <c r="D40" s="6">
        <v>3.0966</v>
      </c>
      <c r="E40" s="6">
        <v>1.6428</v>
      </c>
      <c r="F40" s="6">
        <v>2.2917000000000001</v>
      </c>
      <c r="G40" s="6">
        <v>147.44</v>
      </c>
      <c r="H40" s="6">
        <v>22.082000000000001</v>
      </c>
      <c r="I40" s="6">
        <v>33.204000000000001</v>
      </c>
      <c r="J40" s="6">
        <v>179.21</v>
      </c>
      <c r="K40" s="6">
        <v>2.3348</v>
      </c>
      <c r="L40" s="6">
        <v>5.9819000000000004</v>
      </c>
      <c r="M40" s="6">
        <v>8.0272999999999994E-3</v>
      </c>
      <c r="N40" s="6" t="s">
        <v>20</v>
      </c>
    </row>
    <row r="41" spans="1:14" ht="17" x14ac:dyDescent="0.35">
      <c r="A41" s="9">
        <v>84.364999999999995</v>
      </c>
      <c r="B41" s="11">
        <v>2.1516999999999999</v>
      </c>
      <c r="C41" s="6">
        <v>0.33102999999999999</v>
      </c>
      <c r="D41" s="6">
        <v>3.0209000000000001</v>
      </c>
      <c r="E41" s="6">
        <v>1.6463000000000001</v>
      </c>
      <c r="F41" s="6">
        <v>2.2963</v>
      </c>
      <c r="G41" s="6">
        <v>147.29</v>
      </c>
      <c r="H41" s="6">
        <v>22.103999999999999</v>
      </c>
      <c r="I41" s="6">
        <v>33.29</v>
      </c>
      <c r="J41" s="6">
        <v>179.35</v>
      </c>
      <c r="K41" s="6">
        <v>2.3218999999999999</v>
      </c>
      <c r="L41" s="6">
        <v>6.0041000000000002</v>
      </c>
      <c r="M41" s="6">
        <v>8.0631000000000001E-3</v>
      </c>
      <c r="N41" s="6" t="s">
        <v>20</v>
      </c>
    </row>
    <row r="42" spans="1:14" ht="17" x14ac:dyDescent="0.35">
      <c r="A42" s="9">
        <v>84.63</v>
      </c>
      <c r="B42" s="11">
        <v>2.2080000000000002</v>
      </c>
      <c r="C42" s="6">
        <v>0.33911999999999998</v>
      </c>
      <c r="D42" s="6">
        <v>2.9487999999999999</v>
      </c>
      <c r="E42" s="6">
        <v>1.6496999999999999</v>
      </c>
      <c r="F42" s="6">
        <v>2.3008000000000002</v>
      </c>
      <c r="G42" s="6">
        <v>147.15</v>
      </c>
      <c r="H42" s="6">
        <v>22.126000000000001</v>
      </c>
      <c r="I42" s="6">
        <v>33.375</v>
      </c>
      <c r="J42" s="6">
        <v>179.49</v>
      </c>
      <c r="K42" s="6">
        <v>2.3094999999999999</v>
      </c>
      <c r="L42" s="6">
        <v>6.0258000000000003</v>
      </c>
      <c r="M42" s="6">
        <v>8.0984999999999998E-3</v>
      </c>
      <c r="N42" s="6" t="s">
        <v>20</v>
      </c>
    </row>
    <row r="43" spans="1:14" ht="17" x14ac:dyDescent="0.35">
      <c r="A43" s="9">
        <v>84.888999999999996</v>
      </c>
      <c r="B43" s="11">
        <v>2.2643</v>
      </c>
      <c r="C43" s="6">
        <v>0.34720000000000001</v>
      </c>
      <c r="D43" s="6">
        <v>2.8801999999999999</v>
      </c>
      <c r="E43" s="6">
        <v>1.653</v>
      </c>
      <c r="F43" s="6">
        <v>2.3050999999999999</v>
      </c>
      <c r="G43" s="6">
        <v>147</v>
      </c>
      <c r="H43" s="6">
        <v>22.148</v>
      </c>
      <c r="I43" s="6">
        <v>33.459000000000003</v>
      </c>
      <c r="J43" s="6">
        <v>179.62</v>
      </c>
      <c r="K43" s="6">
        <v>2.2974000000000001</v>
      </c>
      <c r="L43" s="6">
        <v>6.0472999999999999</v>
      </c>
      <c r="M43" s="6">
        <v>8.1332999999999996E-3</v>
      </c>
      <c r="N43" s="6" t="s">
        <v>20</v>
      </c>
    </row>
    <row r="44" spans="1:14" ht="17" x14ac:dyDescent="0.35">
      <c r="A44" s="9">
        <v>85.144000000000005</v>
      </c>
      <c r="B44" s="11">
        <v>2.3206000000000002</v>
      </c>
      <c r="C44" s="6">
        <v>0.35526999999999997</v>
      </c>
      <c r="D44" s="6">
        <v>2.8148</v>
      </c>
      <c r="E44" s="6">
        <v>1.6561999999999999</v>
      </c>
      <c r="F44" s="6">
        <v>2.3092999999999999</v>
      </c>
      <c r="G44" s="6">
        <v>146.86000000000001</v>
      </c>
      <c r="H44" s="6">
        <v>22.169</v>
      </c>
      <c r="I44" s="6">
        <v>33.543999999999997</v>
      </c>
      <c r="J44" s="6">
        <v>179.75</v>
      </c>
      <c r="K44" s="6">
        <v>2.2856000000000001</v>
      </c>
      <c r="L44" s="6">
        <v>6.0683999999999996</v>
      </c>
      <c r="M44" s="6">
        <v>8.1677999999999994E-3</v>
      </c>
      <c r="N44" s="6" t="s">
        <v>20</v>
      </c>
    </row>
    <row r="45" spans="1:14" ht="17" x14ac:dyDescent="0.35">
      <c r="A45" s="9">
        <v>85.394000000000005</v>
      </c>
      <c r="B45" s="11">
        <v>2.3769</v>
      </c>
      <c r="C45" s="6">
        <v>0.36334</v>
      </c>
      <c r="D45" s="6">
        <v>2.7523</v>
      </c>
      <c r="E45" s="6">
        <v>1.6593</v>
      </c>
      <c r="F45" s="6">
        <v>2.3134000000000001</v>
      </c>
      <c r="G45" s="6">
        <v>146.72999999999999</v>
      </c>
      <c r="H45" s="6">
        <v>22.190999999999999</v>
      </c>
      <c r="I45" s="6">
        <v>33.628</v>
      </c>
      <c r="J45" s="6">
        <v>179.88</v>
      </c>
      <c r="K45" s="6">
        <v>2.2742</v>
      </c>
      <c r="L45" s="6">
        <v>6.0891999999999999</v>
      </c>
      <c r="M45" s="6">
        <v>8.2018000000000004E-3</v>
      </c>
      <c r="N45" s="6" t="s">
        <v>20</v>
      </c>
    </row>
    <row r="46" spans="1:14" ht="17" x14ac:dyDescent="0.35">
      <c r="A46" s="9">
        <v>85.64</v>
      </c>
      <c r="B46" s="11">
        <v>2.4331</v>
      </c>
      <c r="C46" s="6">
        <v>0.37140000000000001</v>
      </c>
      <c r="D46" s="6">
        <v>2.6924999999999999</v>
      </c>
      <c r="E46" s="6">
        <v>1.6623000000000001</v>
      </c>
      <c r="F46" s="6">
        <v>2.3174000000000001</v>
      </c>
      <c r="G46" s="6">
        <v>146.6</v>
      </c>
      <c r="H46" s="6">
        <v>22.212</v>
      </c>
      <c r="I46" s="6">
        <v>33.713000000000001</v>
      </c>
      <c r="J46" s="6">
        <v>180</v>
      </c>
      <c r="K46" s="6">
        <v>2.2631000000000001</v>
      </c>
      <c r="L46" s="6">
        <v>6.1096000000000004</v>
      </c>
      <c r="M46" s="6">
        <v>8.2354000000000004E-3</v>
      </c>
      <c r="N46" s="6" t="s">
        <v>20</v>
      </c>
    </row>
    <row r="47" spans="1:14" ht="17" x14ac:dyDescent="0.35">
      <c r="A47" s="9">
        <v>85.882000000000005</v>
      </c>
      <c r="B47" s="11">
        <v>2.4893999999999998</v>
      </c>
      <c r="C47" s="6">
        <v>0.37945000000000001</v>
      </c>
      <c r="D47" s="6">
        <v>2.6354000000000002</v>
      </c>
      <c r="E47" s="6">
        <v>1.6652</v>
      </c>
      <c r="F47" s="6">
        <v>2.3212999999999999</v>
      </c>
      <c r="G47" s="6">
        <v>146.47</v>
      </c>
      <c r="H47" s="6">
        <v>22.233000000000001</v>
      </c>
      <c r="I47" s="6">
        <v>33.796999999999997</v>
      </c>
      <c r="J47" s="6">
        <v>180.11</v>
      </c>
      <c r="K47" s="6">
        <v>2.2523</v>
      </c>
      <c r="L47" s="6">
        <v>6.1298000000000004</v>
      </c>
      <c r="M47" s="6">
        <v>8.2687000000000004E-3</v>
      </c>
      <c r="N47" s="6" t="s">
        <v>20</v>
      </c>
    </row>
    <row r="48" spans="1:14" ht="17" x14ac:dyDescent="0.35">
      <c r="A48" s="9">
        <v>86.119</v>
      </c>
      <c r="B48" s="11">
        <v>2.5457000000000001</v>
      </c>
      <c r="C48" s="6">
        <v>0.38750000000000001</v>
      </c>
      <c r="D48" s="6">
        <v>2.5806</v>
      </c>
      <c r="E48" s="6">
        <v>1.6680999999999999</v>
      </c>
      <c r="F48" s="6">
        <v>2.3250000000000002</v>
      </c>
      <c r="G48" s="6">
        <v>146.34</v>
      </c>
      <c r="H48" s="6">
        <v>22.254000000000001</v>
      </c>
      <c r="I48" s="6">
        <v>33.881</v>
      </c>
      <c r="J48" s="6">
        <v>180.23</v>
      </c>
      <c r="K48" s="6">
        <v>2.2416999999999998</v>
      </c>
      <c r="L48" s="6">
        <v>6.1497000000000002</v>
      </c>
      <c r="M48" s="6">
        <v>8.3015999999999993E-3</v>
      </c>
      <c r="N48" s="6" t="s">
        <v>20</v>
      </c>
    </row>
    <row r="49" spans="1:14" ht="17" x14ac:dyDescent="0.35">
      <c r="A49" s="9">
        <v>86.352999999999994</v>
      </c>
      <c r="B49" s="11">
        <v>2.6019999999999999</v>
      </c>
      <c r="C49" s="6">
        <v>0.39554</v>
      </c>
      <c r="D49" s="6">
        <v>2.5282</v>
      </c>
      <c r="E49" s="6">
        <v>1.6709000000000001</v>
      </c>
      <c r="F49" s="6">
        <v>2.3287</v>
      </c>
      <c r="G49" s="6">
        <v>146.22</v>
      </c>
      <c r="H49" s="6">
        <v>22.274999999999999</v>
      </c>
      <c r="I49" s="6">
        <v>33.965000000000003</v>
      </c>
      <c r="J49" s="6">
        <v>180.34</v>
      </c>
      <c r="K49" s="6">
        <v>2.2313999999999998</v>
      </c>
      <c r="L49" s="6">
        <v>6.1692999999999998</v>
      </c>
      <c r="M49" s="6">
        <v>8.3341000000000005E-3</v>
      </c>
      <c r="N49" s="6" t="s">
        <v>20</v>
      </c>
    </row>
    <row r="50" spans="1:14" ht="17" x14ac:dyDescent="0.35">
      <c r="A50" s="9">
        <v>86.582999999999998</v>
      </c>
      <c r="B50" s="11">
        <v>2.6583000000000001</v>
      </c>
      <c r="C50" s="6">
        <v>0.40357999999999999</v>
      </c>
      <c r="D50" s="6">
        <v>2.4777999999999998</v>
      </c>
      <c r="E50" s="6">
        <v>1.6736</v>
      </c>
      <c r="F50" s="6">
        <v>2.3323</v>
      </c>
      <c r="G50" s="6">
        <v>146.09</v>
      </c>
      <c r="H50" s="6">
        <v>22.295999999999999</v>
      </c>
      <c r="I50" s="6">
        <v>34.048000000000002</v>
      </c>
      <c r="J50" s="6">
        <v>180.44</v>
      </c>
      <c r="K50" s="6">
        <v>2.2214</v>
      </c>
      <c r="L50" s="6">
        <v>6.1886000000000001</v>
      </c>
      <c r="M50" s="6">
        <v>8.3663000000000001E-3</v>
      </c>
      <c r="N50" s="6" t="s">
        <v>20</v>
      </c>
    </row>
    <row r="51" spans="1:14" ht="17" x14ac:dyDescent="0.35">
      <c r="A51" s="9">
        <v>86.81</v>
      </c>
      <c r="B51" s="11">
        <v>2.7145999999999999</v>
      </c>
      <c r="C51" s="6">
        <v>0.41160999999999998</v>
      </c>
      <c r="D51" s="6">
        <v>2.4295</v>
      </c>
      <c r="E51" s="6">
        <v>1.6761999999999999</v>
      </c>
      <c r="F51" s="6">
        <v>2.3357000000000001</v>
      </c>
      <c r="G51" s="6">
        <v>145.97</v>
      </c>
      <c r="H51" s="6">
        <v>22.317</v>
      </c>
      <c r="I51" s="6">
        <v>34.131999999999998</v>
      </c>
      <c r="J51" s="6">
        <v>180.54</v>
      </c>
      <c r="K51" s="6">
        <v>2.2115999999999998</v>
      </c>
      <c r="L51" s="6">
        <v>6.2077</v>
      </c>
      <c r="M51" s="6">
        <v>8.3981999999999998E-3</v>
      </c>
      <c r="N51" s="6" t="s">
        <v>20</v>
      </c>
    </row>
    <row r="52" spans="1:14" ht="17" x14ac:dyDescent="0.35">
      <c r="A52" s="9">
        <v>87.033000000000001</v>
      </c>
      <c r="B52" s="11">
        <v>2.7709000000000001</v>
      </c>
      <c r="C52" s="6">
        <v>0.41964000000000001</v>
      </c>
      <c r="D52" s="6">
        <v>2.383</v>
      </c>
      <c r="E52" s="6">
        <v>1.6788000000000001</v>
      </c>
      <c r="F52" s="6">
        <v>2.3391000000000002</v>
      </c>
      <c r="G52" s="6">
        <v>145.86000000000001</v>
      </c>
      <c r="H52" s="6">
        <v>22.337</v>
      </c>
      <c r="I52" s="6">
        <v>34.216000000000001</v>
      </c>
      <c r="J52" s="6">
        <v>180.64</v>
      </c>
      <c r="K52" s="6">
        <v>2.2021000000000002</v>
      </c>
      <c r="L52" s="6">
        <v>6.2264999999999997</v>
      </c>
      <c r="M52" s="6">
        <v>8.4297E-3</v>
      </c>
      <c r="N52" s="6" t="s">
        <v>20</v>
      </c>
    </row>
    <row r="53" spans="1:14" ht="17" x14ac:dyDescent="0.35">
      <c r="A53" s="9">
        <v>87.251999999999995</v>
      </c>
      <c r="B53" s="11">
        <v>2.8271999999999999</v>
      </c>
      <c r="C53" s="6">
        <v>0.42766999999999999</v>
      </c>
      <c r="D53" s="6">
        <v>2.3382000000000001</v>
      </c>
      <c r="E53" s="6">
        <v>1.6813</v>
      </c>
      <c r="F53" s="6">
        <v>2.3424</v>
      </c>
      <c r="G53" s="6">
        <v>145.74</v>
      </c>
      <c r="H53" s="6">
        <v>22.358000000000001</v>
      </c>
      <c r="I53" s="6">
        <v>34.298999999999999</v>
      </c>
      <c r="J53" s="6">
        <v>180.74</v>
      </c>
      <c r="K53" s="6">
        <v>2.1928000000000001</v>
      </c>
      <c r="L53" s="6">
        <v>6.2450999999999999</v>
      </c>
      <c r="M53" s="6">
        <v>8.4609999999999998E-3</v>
      </c>
      <c r="N53" s="6" t="s">
        <v>20</v>
      </c>
    </row>
    <row r="54" spans="1:14" ht="17" x14ac:dyDescent="0.35">
      <c r="A54" s="9">
        <v>87.468999999999994</v>
      </c>
      <c r="B54" s="11">
        <v>2.8835000000000002</v>
      </c>
      <c r="C54" s="6">
        <v>0.43569000000000002</v>
      </c>
      <c r="D54" s="6">
        <v>2.2951999999999999</v>
      </c>
      <c r="E54" s="6">
        <v>1.6838</v>
      </c>
      <c r="F54" s="6">
        <v>2.3456000000000001</v>
      </c>
      <c r="G54" s="6">
        <v>145.63</v>
      </c>
      <c r="H54" s="6">
        <v>22.378</v>
      </c>
      <c r="I54" s="6">
        <v>34.383000000000003</v>
      </c>
      <c r="J54" s="6">
        <v>180.83</v>
      </c>
      <c r="K54" s="6">
        <v>2.1836000000000002</v>
      </c>
      <c r="L54" s="6">
        <v>6.2634999999999996</v>
      </c>
      <c r="M54" s="6">
        <v>8.4919999999999995E-3</v>
      </c>
      <c r="N54" s="6" t="s">
        <v>20</v>
      </c>
    </row>
    <row r="55" spans="1:14" ht="17" x14ac:dyDescent="0.35">
      <c r="A55" s="9">
        <v>87.682000000000002</v>
      </c>
      <c r="B55" s="11">
        <v>2.9398</v>
      </c>
      <c r="C55" s="6">
        <v>0.44370999999999999</v>
      </c>
      <c r="D55" s="6">
        <v>2.2536999999999998</v>
      </c>
      <c r="E55" s="6">
        <v>1.6861999999999999</v>
      </c>
      <c r="F55" s="6">
        <v>2.3487</v>
      </c>
      <c r="G55" s="6">
        <v>145.52000000000001</v>
      </c>
      <c r="H55" s="6">
        <v>22.398</v>
      </c>
      <c r="I55" s="6">
        <v>34.466000000000001</v>
      </c>
      <c r="J55" s="6">
        <v>180.92</v>
      </c>
      <c r="K55" s="6">
        <v>2.1747000000000001</v>
      </c>
      <c r="L55" s="6">
        <v>6.2816999999999998</v>
      </c>
      <c r="M55" s="6">
        <v>8.5226999999999994E-3</v>
      </c>
      <c r="N55" s="6" t="s">
        <v>20</v>
      </c>
    </row>
    <row r="56" spans="1:14" ht="17" x14ac:dyDescent="0.35">
      <c r="A56" s="9">
        <v>87.893000000000001</v>
      </c>
      <c r="B56" s="11">
        <v>2.9961000000000002</v>
      </c>
      <c r="C56" s="6">
        <v>0.45173000000000002</v>
      </c>
      <c r="D56" s="6">
        <v>2.2136999999999998</v>
      </c>
      <c r="E56" s="6">
        <v>1.6884999999999999</v>
      </c>
      <c r="F56" s="6">
        <v>2.3517999999999999</v>
      </c>
      <c r="G56" s="6">
        <v>145.41</v>
      </c>
      <c r="H56" s="6">
        <v>22.419</v>
      </c>
      <c r="I56" s="6">
        <v>34.549999999999997</v>
      </c>
      <c r="J56" s="6">
        <v>181</v>
      </c>
      <c r="K56" s="6">
        <v>2.1659999999999999</v>
      </c>
      <c r="L56" s="6">
        <v>6.2995999999999999</v>
      </c>
      <c r="M56" s="6">
        <v>8.5530999999999992E-3</v>
      </c>
      <c r="N56" s="6" t="s">
        <v>20</v>
      </c>
    </row>
    <row r="57" spans="1:14" ht="17" x14ac:dyDescent="0.35">
      <c r="A57" s="9">
        <v>88.1</v>
      </c>
      <c r="B57" s="11">
        <v>3.0522999999999998</v>
      </c>
      <c r="C57" s="6">
        <v>0.45973999999999998</v>
      </c>
      <c r="D57" s="6">
        <v>2.1751</v>
      </c>
      <c r="E57" s="6">
        <v>1.6908000000000001</v>
      </c>
      <c r="F57" s="6">
        <v>2.3546999999999998</v>
      </c>
      <c r="G57" s="6">
        <v>145.30000000000001</v>
      </c>
      <c r="H57" s="6">
        <v>22.439</v>
      </c>
      <c r="I57" s="6">
        <v>34.633000000000003</v>
      </c>
      <c r="J57" s="6">
        <v>181.09</v>
      </c>
      <c r="K57" s="6">
        <v>2.1575000000000002</v>
      </c>
      <c r="L57" s="6">
        <v>6.3173000000000004</v>
      </c>
      <c r="M57" s="6">
        <v>8.5833999999999997E-3</v>
      </c>
      <c r="N57" s="6" t="s">
        <v>20</v>
      </c>
    </row>
    <row r="58" spans="1:14" ht="17" x14ac:dyDescent="0.35">
      <c r="A58" s="9">
        <v>88.305000000000007</v>
      </c>
      <c r="B58" s="11">
        <v>3.1086</v>
      </c>
      <c r="C58" s="6">
        <v>0.46776000000000001</v>
      </c>
      <c r="D58" s="6">
        <v>2.1379000000000001</v>
      </c>
      <c r="E58" s="6">
        <v>1.6930000000000001</v>
      </c>
      <c r="F58" s="6">
        <v>2.3576000000000001</v>
      </c>
      <c r="G58" s="6">
        <v>145.19999999999999</v>
      </c>
      <c r="H58" s="6">
        <v>22.459</v>
      </c>
      <c r="I58" s="6">
        <v>34.716000000000001</v>
      </c>
      <c r="J58" s="6">
        <v>181.17</v>
      </c>
      <c r="K58" s="6">
        <v>2.1490999999999998</v>
      </c>
      <c r="L58" s="6">
        <v>6.3349000000000002</v>
      </c>
      <c r="M58" s="6">
        <v>8.6133000000000008E-3</v>
      </c>
      <c r="N58" s="6" t="s">
        <v>20</v>
      </c>
    </row>
    <row r="59" spans="1:14" ht="17" x14ac:dyDescent="0.35">
      <c r="A59" s="9">
        <v>88.507000000000005</v>
      </c>
      <c r="B59" s="11">
        <v>3.1648999999999998</v>
      </c>
      <c r="C59" s="6">
        <v>0.47577000000000003</v>
      </c>
      <c r="D59" s="6">
        <v>2.1019000000000001</v>
      </c>
      <c r="E59" s="6">
        <v>1.6952</v>
      </c>
      <c r="F59" s="6">
        <v>2.3605</v>
      </c>
      <c r="G59" s="6">
        <v>145.1</v>
      </c>
      <c r="H59" s="6">
        <v>22.478000000000002</v>
      </c>
      <c r="I59" s="6">
        <v>34.799999999999997</v>
      </c>
      <c r="J59" s="6">
        <v>181.25</v>
      </c>
      <c r="K59" s="6">
        <v>2.1408999999999998</v>
      </c>
      <c r="L59" s="6">
        <v>6.3521999999999998</v>
      </c>
      <c r="M59" s="6">
        <v>8.6429999999999996E-3</v>
      </c>
      <c r="N59" s="6" t="s">
        <v>20</v>
      </c>
    </row>
    <row r="60" spans="1:14" ht="17" x14ac:dyDescent="0.35">
      <c r="A60" s="9">
        <v>88.706000000000003</v>
      </c>
      <c r="B60" s="11">
        <v>3.2212000000000001</v>
      </c>
      <c r="C60" s="6">
        <v>0.48376999999999998</v>
      </c>
      <c r="D60" s="6">
        <v>2.0670999999999999</v>
      </c>
      <c r="E60" s="6">
        <v>1.6974</v>
      </c>
      <c r="F60" s="6">
        <v>2.3632</v>
      </c>
      <c r="G60" s="6">
        <v>144.99</v>
      </c>
      <c r="H60" s="6">
        <v>22.498000000000001</v>
      </c>
      <c r="I60" s="6">
        <v>34.883000000000003</v>
      </c>
      <c r="J60" s="6">
        <v>181.32</v>
      </c>
      <c r="K60" s="6">
        <v>2.1328999999999998</v>
      </c>
      <c r="L60" s="6">
        <v>6.3693999999999997</v>
      </c>
      <c r="M60" s="6">
        <v>8.6726000000000008E-3</v>
      </c>
      <c r="N60" s="6" t="s">
        <v>20</v>
      </c>
    </row>
    <row r="61" spans="1:14" ht="17" x14ac:dyDescent="0.35">
      <c r="A61" s="9">
        <v>88.903000000000006</v>
      </c>
      <c r="B61" s="11">
        <v>3.2774999999999999</v>
      </c>
      <c r="C61" s="6">
        <v>0.49177999999999999</v>
      </c>
      <c r="D61" s="6">
        <v>2.0333999999999999</v>
      </c>
      <c r="E61" s="6">
        <v>1.6994</v>
      </c>
      <c r="F61" s="6">
        <v>2.3658999999999999</v>
      </c>
      <c r="G61" s="6">
        <v>144.9</v>
      </c>
      <c r="H61" s="6">
        <v>22.518000000000001</v>
      </c>
      <c r="I61" s="6">
        <v>34.966999999999999</v>
      </c>
      <c r="J61" s="6">
        <v>181.4</v>
      </c>
      <c r="K61" s="6">
        <v>2.1251000000000002</v>
      </c>
      <c r="L61" s="6">
        <v>6.3864000000000001</v>
      </c>
      <c r="M61" s="6">
        <v>8.7018000000000009E-3</v>
      </c>
      <c r="N61" s="6" t="s">
        <v>20</v>
      </c>
    </row>
    <row r="62" spans="1:14" ht="17" x14ac:dyDescent="0.35">
      <c r="A62" s="9">
        <v>89.096999999999994</v>
      </c>
      <c r="B62" s="11">
        <v>3.3338000000000001</v>
      </c>
      <c r="C62" s="6">
        <v>0.49978</v>
      </c>
      <c r="D62" s="6">
        <v>2.0009000000000001</v>
      </c>
      <c r="E62" s="6">
        <v>1.7015</v>
      </c>
      <c r="F62" s="6">
        <v>2.3685</v>
      </c>
      <c r="G62" s="6">
        <v>144.80000000000001</v>
      </c>
      <c r="H62" s="6">
        <v>22.536999999999999</v>
      </c>
      <c r="I62" s="6">
        <v>35.049999999999997</v>
      </c>
      <c r="J62" s="6">
        <v>181.47</v>
      </c>
      <c r="K62" s="6">
        <v>2.1173999999999999</v>
      </c>
      <c r="L62" s="6">
        <v>6.4032</v>
      </c>
      <c r="M62" s="6">
        <v>8.7308999999999998E-3</v>
      </c>
      <c r="N62" s="6" t="s">
        <v>20</v>
      </c>
    </row>
    <row r="63" spans="1:14" ht="17" x14ac:dyDescent="0.35">
      <c r="A63" s="9">
        <v>89.289000000000001</v>
      </c>
      <c r="B63" s="11">
        <v>3.3900999999999999</v>
      </c>
      <c r="C63" s="6">
        <v>0.50778999999999996</v>
      </c>
      <c r="D63" s="6">
        <v>1.9693000000000001</v>
      </c>
      <c r="E63" s="6">
        <v>1.7035</v>
      </c>
      <c r="F63" s="6">
        <v>2.3711000000000002</v>
      </c>
      <c r="G63" s="6">
        <v>144.69999999999999</v>
      </c>
      <c r="H63" s="6">
        <v>22.556999999999999</v>
      </c>
      <c r="I63" s="6">
        <v>35.133000000000003</v>
      </c>
      <c r="J63" s="6">
        <v>181.54</v>
      </c>
      <c r="K63" s="6">
        <v>2.1097999999999999</v>
      </c>
      <c r="L63" s="6">
        <v>6.4198000000000004</v>
      </c>
      <c r="M63" s="6">
        <v>8.7597999999999999E-3</v>
      </c>
      <c r="N63" s="6" t="s">
        <v>20</v>
      </c>
    </row>
    <row r="64" spans="1:14" ht="17" x14ac:dyDescent="0.35">
      <c r="A64" s="9">
        <v>89.478999999999999</v>
      </c>
      <c r="B64" s="11">
        <v>3.4464000000000001</v>
      </c>
      <c r="C64" s="6">
        <v>0.51578999999999997</v>
      </c>
      <c r="D64" s="6">
        <v>1.9388000000000001</v>
      </c>
      <c r="E64" s="6">
        <v>1.7054</v>
      </c>
      <c r="F64" s="6">
        <v>2.3736000000000002</v>
      </c>
      <c r="G64" s="6">
        <v>144.61000000000001</v>
      </c>
      <c r="H64" s="6">
        <v>22.576000000000001</v>
      </c>
      <c r="I64" s="6">
        <v>35.216999999999999</v>
      </c>
      <c r="J64" s="6">
        <v>181.61</v>
      </c>
      <c r="K64" s="6">
        <v>2.1023999999999998</v>
      </c>
      <c r="L64" s="6">
        <v>6.4363000000000001</v>
      </c>
      <c r="M64" s="6">
        <v>8.7884999999999994E-3</v>
      </c>
      <c r="N64" s="6" t="s">
        <v>20</v>
      </c>
    </row>
    <row r="65" spans="1:14" ht="17" x14ac:dyDescent="0.35">
      <c r="A65" s="9">
        <v>89.665999999999997</v>
      </c>
      <c r="B65" s="11">
        <v>3.5026999999999999</v>
      </c>
      <c r="C65" s="6">
        <v>0.52378999999999998</v>
      </c>
      <c r="D65" s="6">
        <v>1.9091</v>
      </c>
      <c r="E65" s="6">
        <v>1.7073</v>
      </c>
      <c r="F65" s="6">
        <v>2.3759999999999999</v>
      </c>
      <c r="G65" s="6">
        <v>144.51</v>
      </c>
      <c r="H65" s="6">
        <v>22.596</v>
      </c>
      <c r="I65" s="6">
        <v>35.299999999999997</v>
      </c>
      <c r="J65" s="6">
        <v>181.67</v>
      </c>
      <c r="K65" s="6">
        <v>2.0951</v>
      </c>
      <c r="L65" s="6">
        <v>6.4527000000000001</v>
      </c>
      <c r="M65" s="6">
        <v>8.8170000000000002E-3</v>
      </c>
      <c r="N65" s="6" t="s">
        <v>20</v>
      </c>
    </row>
    <row r="66" spans="1:14" ht="17" x14ac:dyDescent="0.35">
      <c r="A66" s="9">
        <v>89.852000000000004</v>
      </c>
      <c r="B66" s="11">
        <v>3.5590000000000002</v>
      </c>
      <c r="C66" s="6">
        <v>0.53180000000000005</v>
      </c>
      <c r="D66" s="6">
        <v>1.8804000000000001</v>
      </c>
      <c r="E66" s="6">
        <v>1.7092000000000001</v>
      </c>
      <c r="F66" s="6">
        <v>2.3784000000000001</v>
      </c>
      <c r="G66" s="6">
        <v>144.41999999999999</v>
      </c>
      <c r="H66" s="6">
        <v>22.614999999999998</v>
      </c>
      <c r="I66" s="6">
        <v>35.384</v>
      </c>
      <c r="J66" s="6">
        <v>181.73</v>
      </c>
      <c r="K66" s="6">
        <v>2.0878999999999999</v>
      </c>
      <c r="L66" s="6">
        <v>6.4687999999999999</v>
      </c>
      <c r="M66" s="6">
        <v>8.8453999999999998E-3</v>
      </c>
      <c r="N66" s="6" t="s">
        <v>20</v>
      </c>
    </row>
    <row r="67" spans="1:14" ht="17" x14ac:dyDescent="0.35">
      <c r="A67" s="9">
        <v>90.034999999999997</v>
      </c>
      <c r="B67" s="11">
        <v>3.6153</v>
      </c>
      <c r="C67" s="6">
        <v>0.53979999999999995</v>
      </c>
      <c r="D67" s="6">
        <v>1.8525</v>
      </c>
      <c r="E67" s="6">
        <v>1.7110000000000001</v>
      </c>
      <c r="F67" s="6">
        <v>2.3807</v>
      </c>
      <c r="G67" s="6">
        <v>144.33000000000001</v>
      </c>
      <c r="H67" s="6">
        <v>22.634</v>
      </c>
      <c r="I67" s="6">
        <v>35.466999999999999</v>
      </c>
      <c r="J67" s="6">
        <v>181.8</v>
      </c>
      <c r="K67" s="6">
        <v>2.0809000000000002</v>
      </c>
      <c r="L67" s="6">
        <v>6.4847999999999999</v>
      </c>
      <c r="M67" s="6">
        <v>8.8734999999999994E-3</v>
      </c>
      <c r="N67" s="6" t="s">
        <v>20</v>
      </c>
    </row>
    <row r="68" spans="1:14" ht="17" x14ac:dyDescent="0.35">
      <c r="A68" s="9">
        <v>90.215999999999994</v>
      </c>
      <c r="B68" s="11">
        <v>3.6716000000000002</v>
      </c>
      <c r="C68" s="6">
        <v>0.54779999999999995</v>
      </c>
      <c r="D68" s="6">
        <v>1.8254999999999999</v>
      </c>
      <c r="E68" s="6">
        <v>1.7128000000000001</v>
      </c>
      <c r="F68" s="6">
        <v>2.383</v>
      </c>
      <c r="G68" s="6">
        <v>144.24</v>
      </c>
      <c r="H68" s="6">
        <v>22.652999999999999</v>
      </c>
      <c r="I68" s="6">
        <v>35.551000000000002</v>
      </c>
      <c r="J68" s="6">
        <v>181.85</v>
      </c>
      <c r="K68" s="6">
        <v>2.0739999999999998</v>
      </c>
      <c r="L68" s="6">
        <v>6.5007000000000001</v>
      </c>
      <c r="M68" s="6">
        <v>8.9014999999999997E-3</v>
      </c>
      <c r="N68" s="6" t="s">
        <v>20</v>
      </c>
    </row>
    <row r="69" spans="1:14" ht="17" x14ac:dyDescent="0.35">
      <c r="A69" s="9">
        <v>90.394000000000005</v>
      </c>
      <c r="B69" s="11">
        <v>3.7277999999999998</v>
      </c>
      <c r="C69" s="6">
        <v>0.55579999999999996</v>
      </c>
      <c r="D69" s="6">
        <v>1.7991999999999999</v>
      </c>
      <c r="E69" s="6">
        <v>1.7144999999999999</v>
      </c>
      <c r="F69" s="6">
        <v>2.3852000000000002</v>
      </c>
      <c r="G69" s="6">
        <v>144.15</v>
      </c>
      <c r="H69" s="6">
        <v>22.672000000000001</v>
      </c>
      <c r="I69" s="6">
        <v>35.634</v>
      </c>
      <c r="J69" s="6">
        <v>181.91</v>
      </c>
      <c r="K69" s="6">
        <v>2.0672999999999999</v>
      </c>
      <c r="L69" s="6">
        <v>6.5164999999999997</v>
      </c>
      <c r="M69" s="6">
        <v>8.9292999999999994E-3</v>
      </c>
      <c r="N69" s="6" t="s">
        <v>20</v>
      </c>
    </row>
    <row r="70" spans="1:14" ht="17" x14ac:dyDescent="0.35">
      <c r="A70" s="9">
        <v>90.570999999999998</v>
      </c>
      <c r="B70" s="11">
        <v>3.7841</v>
      </c>
      <c r="C70" s="6">
        <v>0.56379999999999997</v>
      </c>
      <c r="D70" s="6">
        <v>1.7737000000000001</v>
      </c>
      <c r="E70" s="6">
        <v>1.7161999999999999</v>
      </c>
      <c r="F70" s="6">
        <v>2.3874</v>
      </c>
      <c r="G70" s="6">
        <v>144.06</v>
      </c>
      <c r="H70" s="6">
        <v>22.690999999999999</v>
      </c>
      <c r="I70" s="6">
        <v>35.718000000000004</v>
      </c>
      <c r="J70" s="6">
        <v>181.97</v>
      </c>
      <c r="K70" s="6">
        <v>2.0606</v>
      </c>
      <c r="L70" s="6">
        <v>6.532</v>
      </c>
      <c r="M70" s="6">
        <v>8.9569999999999997E-3</v>
      </c>
      <c r="N70" s="6" t="s">
        <v>20</v>
      </c>
    </row>
    <row r="71" spans="1:14" ht="17" x14ac:dyDescent="0.35">
      <c r="A71" s="9">
        <v>90.745999999999995</v>
      </c>
      <c r="B71" s="11">
        <v>3.8403999999999998</v>
      </c>
      <c r="C71" s="6">
        <v>0.57179999999999997</v>
      </c>
      <c r="D71" s="6">
        <v>1.7488999999999999</v>
      </c>
      <c r="E71" s="6">
        <v>1.7179</v>
      </c>
      <c r="F71" s="6">
        <v>2.3895</v>
      </c>
      <c r="G71" s="6">
        <v>143.97999999999999</v>
      </c>
      <c r="H71" s="6">
        <v>22.71</v>
      </c>
      <c r="I71" s="6">
        <v>35.802</v>
      </c>
      <c r="J71" s="6">
        <v>182.02</v>
      </c>
      <c r="K71" s="6">
        <v>2.0539999999999998</v>
      </c>
      <c r="L71" s="6">
        <v>6.5475000000000003</v>
      </c>
      <c r="M71" s="6">
        <v>8.9844999999999994E-3</v>
      </c>
      <c r="N71" s="6" t="s">
        <v>20</v>
      </c>
    </row>
    <row r="72" spans="1:14" ht="17" x14ac:dyDescent="0.35">
      <c r="A72" s="9">
        <v>90.92</v>
      </c>
      <c r="B72" s="11">
        <v>3.8967000000000001</v>
      </c>
      <c r="C72" s="6">
        <v>0.57981000000000005</v>
      </c>
      <c r="D72" s="6">
        <v>1.7246999999999999</v>
      </c>
      <c r="E72" s="6">
        <v>1.7195</v>
      </c>
      <c r="F72" s="6">
        <v>2.3915999999999999</v>
      </c>
      <c r="G72" s="6">
        <v>143.88999999999999</v>
      </c>
      <c r="H72" s="6">
        <v>22.728999999999999</v>
      </c>
      <c r="I72" s="6">
        <v>35.886000000000003</v>
      </c>
      <c r="J72" s="6">
        <v>182.07</v>
      </c>
      <c r="K72" s="6">
        <v>2.0476000000000001</v>
      </c>
      <c r="L72" s="6">
        <v>6.5628000000000002</v>
      </c>
      <c r="M72" s="6">
        <v>9.0118999999999998E-3</v>
      </c>
      <c r="N72" s="6" t="s">
        <v>20</v>
      </c>
    </row>
    <row r="73" spans="1:14" ht="17" x14ac:dyDescent="0.35">
      <c r="A73" s="9">
        <v>91.090999999999994</v>
      </c>
      <c r="B73" s="11">
        <v>3.9529999999999998</v>
      </c>
      <c r="C73" s="6">
        <v>0.58781000000000005</v>
      </c>
      <c r="D73" s="6">
        <v>1.7012</v>
      </c>
      <c r="E73" s="6">
        <v>1.7211000000000001</v>
      </c>
      <c r="F73" s="6">
        <v>2.3936000000000002</v>
      </c>
      <c r="G73" s="6">
        <v>143.81</v>
      </c>
      <c r="H73" s="6">
        <v>22.748000000000001</v>
      </c>
      <c r="I73" s="6">
        <v>35.969000000000001</v>
      </c>
      <c r="J73" s="6">
        <v>182.12</v>
      </c>
      <c r="K73" s="6">
        <v>2.0413000000000001</v>
      </c>
      <c r="L73" s="6">
        <v>6.5781000000000001</v>
      </c>
      <c r="M73" s="6">
        <v>9.0392000000000007E-3</v>
      </c>
      <c r="N73" s="6" t="s">
        <v>20</v>
      </c>
    </row>
    <row r="74" spans="1:14" ht="17" x14ac:dyDescent="0.35">
      <c r="A74" s="9">
        <v>91.260999999999996</v>
      </c>
      <c r="B74" s="11">
        <v>4.0092999999999996</v>
      </c>
      <c r="C74" s="6">
        <v>0.59582000000000002</v>
      </c>
      <c r="D74" s="6">
        <v>1.6783999999999999</v>
      </c>
      <c r="E74" s="6">
        <v>1.7226999999999999</v>
      </c>
      <c r="F74" s="6">
        <v>2.3956</v>
      </c>
      <c r="G74" s="6">
        <v>143.72999999999999</v>
      </c>
      <c r="H74" s="6">
        <v>22.766999999999999</v>
      </c>
      <c r="I74" s="6">
        <v>36.052999999999997</v>
      </c>
      <c r="J74" s="6">
        <v>182.17</v>
      </c>
      <c r="K74" s="6">
        <v>2.0350000000000001</v>
      </c>
      <c r="L74" s="6">
        <v>6.5930999999999997</v>
      </c>
      <c r="M74" s="6">
        <v>9.0662999999999994E-3</v>
      </c>
      <c r="N74" s="6" t="s">
        <v>20</v>
      </c>
    </row>
    <row r="75" spans="1:14" ht="17" x14ac:dyDescent="0.35">
      <c r="A75" s="9">
        <v>91.427999999999997</v>
      </c>
      <c r="B75" s="11">
        <v>4.0655999999999999</v>
      </c>
      <c r="C75" s="6">
        <v>0.60382000000000002</v>
      </c>
      <c r="D75" s="6">
        <v>1.6560999999999999</v>
      </c>
      <c r="E75" s="6">
        <v>1.7242</v>
      </c>
      <c r="F75" s="6">
        <v>2.3975</v>
      </c>
      <c r="G75" s="6">
        <v>143.63999999999999</v>
      </c>
      <c r="H75" s="6">
        <v>22.785</v>
      </c>
      <c r="I75" s="6">
        <v>36.137999999999998</v>
      </c>
      <c r="J75" s="6">
        <v>182.22</v>
      </c>
      <c r="K75" s="6">
        <v>2.0289000000000001</v>
      </c>
      <c r="L75" s="6">
        <v>6.6081000000000003</v>
      </c>
      <c r="M75" s="6">
        <v>9.0931999999999992E-3</v>
      </c>
      <c r="N75" s="6" t="s">
        <v>20</v>
      </c>
    </row>
    <row r="76" spans="1:14" ht="17" x14ac:dyDescent="0.35">
      <c r="A76" s="9">
        <v>91.594999999999999</v>
      </c>
      <c r="B76" s="11">
        <v>4.1219000000000001</v>
      </c>
      <c r="C76" s="6">
        <v>0.61182999999999998</v>
      </c>
      <c r="D76" s="6">
        <v>1.6344000000000001</v>
      </c>
      <c r="E76" s="6">
        <v>1.7257</v>
      </c>
      <c r="F76" s="6">
        <v>2.3994</v>
      </c>
      <c r="G76" s="6">
        <v>143.56</v>
      </c>
      <c r="H76" s="6">
        <v>22.803999999999998</v>
      </c>
      <c r="I76" s="6">
        <v>36.222000000000001</v>
      </c>
      <c r="J76" s="6">
        <v>182.27</v>
      </c>
      <c r="K76" s="6">
        <v>2.0228000000000002</v>
      </c>
      <c r="L76" s="6">
        <v>6.6230000000000002</v>
      </c>
      <c r="M76" s="6">
        <v>9.1201000000000008E-3</v>
      </c>
      <c r="N76" s="6" t="s">
        <v>20</v>
      </c>
    </row>
    <row r="77" spans="1:14" ht="17" x14ac:dyDescent="0.35">
      <c r="A77" s="9">
        <v>91.759</v>
      </c>
      <c r="B77" s="11">
        <v>4.1782000000000004</v>
      </c>
      <c r="C77" s="6">
        <v>0.61983999999999995</v>
      </c>
      <c r="D77" s="6">
        <v>1.6133</v>
      </c>
      <c r="E77" s="6">
        <v>1.7272000000000001</v>
      </c>
      <c r="F77" s="6">
        <v>2.4011999999999998</v>
      </c>
      <c r="G77" s="6">
        <v>143.47999999999999</v>
      </c>
      <c r="H77" s="6">
        <v>22.823</v>
      </c>
      <c r="I77" s="6">
        <v>36.305999999999997</v>
      </c>
      <c r="J77" s="6">
        <v>182.31</v>
      </c>
      <c r="K77" s="6">
        <v>2.0169000000000001</v>
      </c>
      <c r="L77" s="6">
        <v>6.6376999999999997</v>
      </c>
      <c r="M77" s="6">
        <v>9.1468000000000001E-3</v>
      </c>
      <c r="N77" s="6" t="s">
        <v>20</v>
      </c>
    </row>
    <row r="78" spans="1:14" ht="17" x14ac:dyDescent="0.35">
      <c r="A78" s="9">
        <v>91.921999999999997</v>
      </c>
      <c r="B78" s="11">
        <v>4.2344999999999997</v>
      </c>
      <c r="C78" s="6">
        <v>0.62785000000000002</v>
      </c>
      <c r="D78" s="6">
        <v>1.5927</v>
      </c>
      <c r="E78" s="6">
        <v>1.7285999999999999</v>
      </c>
      <c r="F78" s="6">
        <v>2.403</v>
      </c>
      <c r="G78" s="6">
        <v>143.41</v>
      </c>
      <c r="H78" s="6">
        <v>22.841000000000001</v>
      </c>
      <c r="I78" s="6">
        <v>36.39</v>
      </c>
      <c r="J78" s="6">
        <v>182.36</v>
      </c>
      <c r="K78" s="6">
        <v>2.0110000000000001</v>
      </c>
      <c r="L78" s="6">
        <v>6.6523000000000003</v>
      </c>
      <c r="M78" s="6">
        <v>9.1734E-3</v>
      </c>
      <c r="N78" s="6" t="s">
        <v>20</v>
      </c>
    </row>
    <row r="79" spans="1:14" ht="17" x14ac:dyDescent="0.35">
      <c r="A79" s="9">
        <v>92.082999999999998</v>
      </c>
      <c r="B79" s="11">
        <v>4.2907999999999999</v>
      </c>
      <c r="C79" s="6">
        <v>0.63585999999999998</v>
      </c>
      <c r="D79" s="6">
        <v>1.5727</v>
      </c>
      <c r="E79" s="6">
        <v>1.73</v>
      </c>
      <c r="F79" s="6">
        <v>2.4047999999999998</v>
      </c>
      <c r="G79" s="6">
        <v>143.33000000000001</v>
      </c>
      <c r="H79" s="6">
        <v>22.86</v>
      </c>
      <c r="I79" s="6">
        <v>36.475000000000001</v>
      </c>
      <c r="J79" s="6">
        <v>182.4</v>
      </c>
      <c r="K79" s="6">
        <v>2.0053000000000001</v>
      </c>
      <c r="L79" s="6">
        <v>6.6668000000000003</v>
      </c>
      <c r="M79" s="6">
        <v>9.1999000000000004E-3</v>
      </c>
      <c r="N79" s="6" t="s">
        <v>20</v>
      </c>
    </row>
    <row r="80" spans="1:14" ht="17" x14ac:dyDescent="0.35">
      <c r="A80" s="9">
        <v>92.242999999999995</v>
      </c>
      <c r="B80" s="11">
        <v>4.3470000000000004</v>
      </c>
      <c r="C80" s="6">
        <v>0.64387000000000005</v>
      </c>
      <c r="D80" s="6">
        <v>1.5530999999999999</v>
      </c>
      <c r="E80" s="6">
        <v>1.7314000000000001</v>
      </c>
      <c r="F80" s="6">
        <v>2.4064999999999999</v>
      </c>
      <c r="G80" s="6">
        <v>143.25</v>
      </c>
      <c r="H80" s="6">
        <v>22.878</v>
      </c>
      <c r="I80" s="6">
        <v>36.558999999999997</v>
      </c>
      <c r="J80" s="6">
        <v>182.44</v>
      </c>
      <c r="K80" s="6">
        <v>1.9996</v>
      </c>
      <c r="L80" s="6">
        <v>6.6811999999999996</v>
      </c>
      <c r="M80" s="6">
        <v>9.2262999999999998E-3</v>
      </c>
      <c r="N80" s="6" t="s">
        <v>20</v>
      </c>
    </row>
    <row r="81" spans="1:14" ht="17" x14ac:dyDescent="0.35">
      <c r="A81" s="9">
        <v>92.400999999999996</v>
      </c>
      <c r="B81" s="11">
        <v>4.4032999999999998</v>
      </c>
      <c r="C81" s="6">
        <v>0.65188999999999997</v>
      </c>
      <c r="D81" s="6">
        <v>1.534</v>
      </c>
      <c r="E81" s="6">
        <v>1.7326999999999999</v>
      </c>
      <c r="F81" s="6">
        <v>2.4081999999999999</v>
      </c>
      <c r="G81" s="6">
        <v>143.18</v>
      </c>
      <c r="H81" s="6">
        <v>22.896999999999998</v>
      </c>
      <c r="I81" s="6">
        <v>36.643999999999998</v>
      </c>
      <c r="J81" s="6">
        <v>182.48</v>
      </c>
      <c r="K81" s="6">
        <v>1.994</v>
      </c>
      <c r="L81" s="6">
        <v>6.6955</v>
      </c>
      <c r="M81" s="6">
        <v>9.2525999999999997E-3</v>
      </c>
      <c r="N81" s="6" t="s">
        <v>20</v>
      </c>
    </row>
    <row r="82" spans="1:14" ht="17" x14ac:dyDescent="0.35">
      <c r="A82" s="9">
        <v>92.558000000000007</v>
      </c>
      <c r="B82" s="11">
        <v>4.4596</v>
      </c>
      <c r="C82" s="6">
        <v>0.65991</v>
      </c>
      <c r="D82" s="6">
        <v>1.5154000000000001</v>
      </c>
      <c r="E82" s="6">
        <v>1.7341</v>
      </c>
      <c r="F82" s="6">
        <v>2.4098000000000002</v>
      </c>
      <c r="G82" s="6">
        <v>143.1</v>
      </c>
      <c r="H82" s="6">
        <v>22.914999999999999</v>
      </c>
      <c r="I82" s="6">
        <v>36.728999999999999</v>
      </c>
      <c r="J82" s="6">
        <v>182.52</v>
      </c>
      <c r="K82" s="6">
        <v>1.9883999999999999</v>
      </c>
      <c r="L82" s="6">
        <v>6.7096999999999998</v>
      </c>
      <c r="M82" s="6">
        <v>9.2788000000000002E-3</v>
      </c>
      <c r="N82" s="6" t="s">
        <v>20</v>
      </c>
    </row>
    <row r="83" spans="1:14" ht="17" x14ac:dyDescent="0.35">
      <c r="A83" s="9">
        <v>92.713999999999999</v>
      </c>
      <c r="B83" s="11">
        <v>4.5159000000000002</v>
      </c>
      <c r="C83" s="6">
        <v>0.66793000000000002</v>
      </c>
      <c r="D83" s="6">
        <v>1.4972000000000001</v>
      </c>
      <c r="E83" s="6">
        <v>1.7353000000000001</v>
      </c>
      <c r="F83" s="6">
        <v>2.4115000000000002</v>
      </c>
      <c r="G83" s="6">
        <v>143.03</v>
      </c>
      <c r="H83" s="6">
        <v>22.933</v>
      </c>
      <c r="I83" s="6">
        <v>36.814</v>
      </c>
      <c r="J83" s="6">
        <v>182.55</v>
      </c>
      <c r="K83" s="6">
        <v>1.9830000000000001</v>
      </c>
      <c r="L83" s="6">
        <v>6.7239000000000004</v>
      </c>
      <c r="M83" s="6">
        <v>9.3048999999999996E-3</v>
      </c>
      <c r="N83" s="6" t="s">
        <v>20</v>
      </c>
    </row>
    <row r="84" spans="1:14" ht="17" x14ac:dyDescent="0.35">
      <c r="A84" s="9">
        <v>92.867999999999995</v>
      </c>
      <c r="B84" s="11">
        <v>4.5721999999999996</v>
      </c>
      <c r="C84" s="6">
        <v>0.67595000000000005</v>
      </c>
      <c r="D84" s="6">
        <v>1.4794</v>
      </c>
      <c r="E84" s="6">
        <v>1.7365999999999999</v>
      </c>
      <c r="F84" s="6">
        <v>2.4129999999999998</v>
      </c>
      <c r="G84" s="6">
        <v>142.94999999999999</v>
      </c>
      <c r="H84" s="6">
        <v>22.951000000000001</v>
      </c>
      <c r="I84" s="6">
        <v>36.899000000000001</v>
      </c>
      <c r="J84" s="6">
        <v>182.59</v>
      </c>
      <c r="K84" s="6">
        <v>1.9776</v>
      </c>
      <c r="L84" s="6">
        <v>6.7378999999999998</v>
      </c>
      <c r="M84" s="6">
        <v>9.3308000000000002E-3</v>
      </c>
      <c r="N84" s="6" t="s">
        <v>20</v>
      </c>
    </row>
    <row r="85" spans="1:14" ht="17" x14ac:dyDescent="0.35">
      <c r="A85" s="9">
        <v>93.02</v>
      </c>
      <c r="B85" s="11">
        <v>4.6284999999999998</v>
      </c>
      <c r="C85" s="6">
        <v>0.68398000000000003</v>
      </c>
      <c r="D85" s="6">
        <v>1.462</v>
      </c>
      <c r="E85" s="6">
        <v>1.7378</v>
      </c>
      <c r="F85" s="6">
        <v>2.4144999999999999</v>
      </c>
      <c r="G85" s="6">
        <v>142.88</v>
      </c>
      <c r="H85" s="6">
        <v>22.97</v>
      </c>
      <c r="I85" s="6">
        <v>36.984000000000002</v>
      </c>
      <c r="J85" s="6">
        <v>182.62</v>
      </c>
      <c r="K85" s="6">
        <v>1.9722999999999999</v>
      </c>
      <c r="L85" s="6">
        <v>6.7518000000000002</v>
      </c>
      <c r="M85" s="6">
        <v>9.3567000000000008E-3</v>
      </c>
      <c r="N85" s="6" t="s">
        <v>20</v>
      </c>
    </row>
    <row r="86" spans="1:14" ht="17" x14ac:dyDescent="0.35">
      <c r="A86" s="9">
        <v>93.171999999999997</v>
      </c>
      <c r="B86" s="11">
        <v>4.6848000000000001</v>
      </c>
      <c r="C86" s="6">
        <v>0.69201000000000001</v>
      </c>
      <c r="D86" s="6">
        <v>1.4451000000000001</v>
      </c>
      <c r="E86" s="6">
        <v>1.7391000000000001</v>
      </c>
      <c r="F86" s="6">
        <v>2.4159999999999999</v>
      </c>
      <c r="G86" s="6">
        <v>142.81</v>
      </c>
      <c r="H86" s="6">
        <v>22.988</v>
      </c>
      <c r="I86" s="6">
        <v>37.07</v>
      </c>
      <c r="J86" s="6">
        <v>182.66</v>
      </c>
      <c r="K86" s="6">
        <v>1.9671000000000001</v>
      </c>
      <c r="L86" s="6">
        <v>6.7656000000000001</v>
      </c>
      <c r="M86" s="6">
        <v>9.3825000000000002E-3</v>
      </c>
      <c r="N86" s="6" t="s">
        <v>20</v>
      </c>
    </row>
    <row r="87" spans="1:14" ht="17" x14ac:dyDescent="0.35">
      <c r="A87" s="9">
        <v>93.322000000000003</v>
      </c>
      <c r="B87" s="11">
        <v>4.7411000000000003</v>
      </c>
      <c r="C87" s="6">
        <v>0.70004</v>
      </c>
      <c r="D87" s="6">
        <v>1.4285000000000001</v>
      </c>
      <c r="E87" s="6">
        <v>1.7402</v>
      </c>
      <c r="F87" s="6">
        <v>2.4175</v>
      </c>
      <c r="G87" s="6">
        <v>142.74</v>
      </c>
      <c r="H87" s="6">
        <v>23.006</v>
      </c>
      <c r="I87" s="6">
        <v>37.155000000000001</v>
      </c>
      <c r="J87" s="6">
        <v>182.69</v>
      </c>
      <c r="K87" s="6">
        <v>1.9619</v>
      </c>
      <c r="L87" s="6">
        <v>6.7793999999999999</v>
      </c>
      <c r="M87" s="6">
        <v>9.4082000000000002E-3</v>
      </c>
      <c r="N87" s="6" t="s">
        <v>20</v>
      </c>
    </row>
    <row r="88" spans="1:14" ht="17" x14ac:dyDescent="0.35">
      <c r="A88" s="9">
        <v>93.47</v>
      </c>
      <c r="B88" s="11">
        <v>4.7973999999999997</v>
      </c>
      <c r="C88" s="6">
        <v>0.70806999999999998</v>
      </c>
      <c r="D88" s="6">
        <v>1.4123000000000001</v>
      </c>
      <c r="E88" s="6">
        <v>1.7414000000000001</v>
      </c>
      <c r="F88" s="6">
        <v>2.4188999999999998</v>
      </c>
      <c r="G88" s="6">
        <v>142.66999999999999</v>
      </c>
      <c r="H88" s="6">
        <v>23.024000000000001</v>
      </c>
      <c r="I88" s="6">
        <v>37.241</v>
      </c>
      <c r="J88" s="6">
        <v>182.72</v>
      </c>
      <c r="K88" s="6">
        <v>1.9568000000000001</v>
      </c>
      <c r="L88" s="6">
        <v>6.7930000000000001</v>
      </c>
      <c r="M88" s="6">
        <v>9.4339000000000003E-3</v>
      </c>
      <c r="N88" s="6" t="s">
        <v>20</v>
      </c>
    </row>
    <row r="89" spans="1:14" ht="17" x14ac:dyDescent="0.35">
      <c r="A89" s="9">
        <v>93.617999999999995</v>
      </c>
      <c r="B89" s="11">
        <v>4.8536999999999999</v>
      </c>
      <c r="C89" s="6">
        <v>0.71611000000000002</v>
      </c>
      <c r="D89" s="6">
        <v>1.3964000000000001</v>
      </c>
      <c r="E89" s="6">
        <v>1.7424999999999999</v>
      </c>
      <c r="F89" s="6">
        <v>2.4203000000000001</v>
      </c>
      <c r="G89" s="6">
        <v>142.6</v>
      </c>
      <c r="H89" s="6">
        <v>23.042000000000002</v>
      </c>
      <c r="I89" s="6">
        <v>37.326999999999998</v>
      </c>
      <c r="J89" s="6">
        <v>182.75</v>
      </c>
      <c r="K89" s="6">
        <v>1.9518</v>
      </c>
      <c r="L89" s="6">
        <v>6.8066000000000004</v>
      </c>
      <c r="M89" s="6">
        <v>9.4593999999999998E-3</v>
      </c>
      <c r="N89" s="6" t="s">
        <v>20</v>
      </c>
    </row>
    <row r="90" spans="1:14" ht="17" x14ac:dyDescent="0.35">
      <c r="A90" s="9">
        <v>93.763999999999996</v>
      </c>
      <c r="B90" s="11">
        <v>4.91</v>
      </c>
      <c r="C90" s="6">
        <v>0.72414999999999996</v>
      </c>
      <c r="D90" s="6">
        <v>1.3809</v>
      </c>
      <c r="E90" s="6">
        <v>1.7437</v>
      </c>
      <c r="F90" s="6">
        <v>2.4217</v>
      </c>
      <c r="G90" s="6">
        <v>142.53</v>
      </c>
      <c r="H90" s="6">
        <v>23.06</v>
      </c>
      <c r="I90" s="6">
        <v>37.412999999999997</v>
      </c>
      <c r="J90" s="6">
        <v>182.78</v>
      </c>
      <c r="K90" s="6">
        <v>1.9468000000000001</v>
      </c>
      <c r="L90" s="6">
        <v>6.8201000000000001</v>
      </c>
      <c r="M90" s="6">
        <v>9.4848999999999992E-3</v>
      </c>
      <c r="N90" s="6" t="s">
        <v>20</v>
      </c>
    </row>
    <row r="91" spans="1:14" ht="17" x14ac:dyDescent="0.35">
      <c r="A91" s="9">
        <v>93.909000000000006</v>
      </c>
      <c r="B91" s="11">
        <v>4.9663000000000004</v>
      </c>
      <c r="C91" s="6">
        <v>0.73219000000000001</v>
      </c>
      <c r="D91" s="6">
        <v>1.3657999999999999</v>
      </c>
      <c r="E91" s="6">
        <v>1.7446999999999999</v>
      </c>
      <c r="F91" s="6">
        <v>2.423</v>
      </c>
      <c r="G91" s="6">
        <v>142.46</v>
      </c>
      <c r="H91" s="6">
        <v>23.077999999999999</v>
      </c>
      <c r="I91" s="6">
        <v>37.499000000000002</v>
      </c>
      <c r="J91" s="6">
        <v>182.8</v>
      </c>
      <c r="K91" s="6">
        <v>1.9419</v>
      </c>
      <c r="L91" s="6">
        <v>6.8334999999999999</v>
      </c>
      <c r="M91" s="6">
        <v>9.5102999999999993E-3</v>
      </c>
      <c r="N91" s="6" t="s">
        <v>20</v>
      </c>
    </row>
    <row r="92" spans="1:14" ht="17" x14ac:dyDescent="0.35">
      <c r="A92" s="9">
        <v>94.052000000000007</v>
      </c>
      <c r="B92" s="11">
        <v>5.0225</v>
      </c>
      <c r="C92" s="6">
        <v>0.74024000000000001</v>
      </c>
      <c r="D92" s="6">
        <v>1.3509</v>
      </c>
      <c r="E92" s="6">
        <v>1.7458</v>
      </c>
      <c r="F92" s="6">
        <v>2.4243000000000001</v>
      </c>
      <c r="G92" s="6">
        <v>142.38999999999999</v>
      </c>
      <c r="H92" s="6">
        <v>23.096</v>
      </c>
      <c r="I92" s="6">
        <v>37.585000000000001</v>
      </c>
      <c r="J92" s="6">
        <v>182.83</v>
      </c>
      <c r="K92" s="6">
        <v>1.9371</v>
      </c>
      <c r="L92" s="6">
        <v>6.8468</v>
      </c>
      <c r="M92" s="6">
        <v>9.5356E-3</v>
      </c>
      <c r="N92" s="6" t="s">
        <v>20</v>
      </c>
    </row>
    <row r="93" spans="1:14" ht="17" x14ac:dyDescent="0.35">
      <c r="A93" s="9">
        <v>94.194999999999993</v>
      </c>
      <c r="B93" s="11">
        <v>5.0788000000000002</v>
      </c>
      <c r="C93" s="6">
        <v>0.74829000000000001</v>
      </c>
      <c r="D93" s="6">
        <v>1.3364</v>
      </c>
      <c r="E93" s="6">
        <v>1.7468999999999999</v>
      </c>
      <c r="F93" s="6">
        <v>2.4256000000000002</v>
      </c>
      <c r="G93" s="6">
        <v>142.33000000000001</v>
      </c>
      <c r="H93" s="6">
        <v>23.114000000000001</v>
      </c>
      <c r="I93" s="6">
        <v>37.671999999999997</v>
      </c>
      <c r="J93" s="6">
        <v>182.86</v>
      </c>
      <c r="K93" s="6">
        <v>1.9322999999999999</v>
      </c>
      <c r="L93" s="6">
        <v>6.86</v>
      </c>
      <c r="M93" s="6">
        <v>9.5607999999999995E-3</v>
      </c>
      <c r="N93" s="6" t="s">
        <v>20</v>
      </c>
    </row>
    <row r="94" spans="1:14" ht="17" x14ac:dyDescent="0.35">
      <c r="A94" s="9">
        <v>94.335999999999999</v>
      </c>
      <c r="B94" s="11">
        <v>5.1351000000000004</v>
      </c>
      <c r="C94" s="6">
        <v>0.75634000000000001</v>
      </c>
      <c r="D94" s="6">
        <v>1.3222</v>
      </c>
      <c r="E94" s="6">
        <v>1.7479</v>
      </c>
      <c r="F94" s="6">
        <v>2.4268000000000001</v>
      </c>
      <c r="G94" s="6">
        <v>142.26</v>
      </c>
      <c r="H94" s="6">
        <v>23.132000000000001</v>
      </c>
      <c r="I94" s="6">
        <v>37.759</v>
      </c>
      <c r="J94" s="6">
        <v>182.88</v>
      </c>
      <c r="K94" s="6">
        <v>1.9276</v>
      </c>
      <c r="L94" s="6">
        <v>6.8731999999999998</v>
      </c>
      <c r="M94" s="6">
        <v>9.5860000000000008E-3</v>
      </c>
      <c r="N94" s="6" t="s">
        <v>20</v>
      </c>
    </row>
    <row r="95" spans="1:14" ht="17" x14ac:dyDescent="0.35">
      <c r="A95" s="9">
        <v>94.477000000000004</v>
      </c>
      <c r="B95" s="11">
        <v>5.1913999999999998</v>
      </c>
      <c r="C95" s="6">
        <v>0.76439999999999997</v>
      </c>
      <c r="D95" s="6">
        <v>1.3082</v>
      </c>
      <c r="E95" s="6">
        <v>1.7488999999999999</v>
      </c>
      <c r="F95" s="6">
        <v>2.4279999999999999</v>
      </c>
      <c r="G95" s="6">
        <v>142.19</v>
      </c>
      <c r="H95" s="6">
        <v>23.149000000000001</v>
      </c>
      <c r="I95" s="6">
        <v>37.844999999999999</v>
      </c>
      <c r="J95" s="6">
        <v>182.91</v>
      </c>
      <c r="K95" s="6">
        <v>1.9229000000000001</v>
      </c>
      <c r="L95" s="6">
        <v>6.8863000000000003</v>
      </c>
      <c r="M95" s="6">
        <v>9.6110999999999992E-3</v>
      </c>
      <c r="N95" s="6" t="s">
        <v>20</v>
      </c>
    </row>
    <row r="96" spans="1:14" ht="17" x14ac:dyDescent="0.35">
      <c r="A96" s="9">
        <v>94.616</v>
      </c>
      <c r="B96" s="11">
        <v>5.2477</v>
      </c>
      <c r="C96" s="6">
        <v>0.77246000000000004</v>
      </c>
      <c r="D96" s="6">
        <v>1.2946</v>
      </c>
      <c r="E96" s="6">
        <v>1.7499</v>
      </c>
      <c r="F96" s="6">
        <v>2.4291999999999998</v>
      </c>
      <c r="G96" s="6">
        <v>142.13</v>
      </c>
      <c r="H96" s="6">
        <v>23.167000000000002</v>
      </c>
      <c r="I96" s="6">
        <v>37.932000000000002</v>
      </c>
      <c r="J96" s="6">
        <v>182.93</v>
      </c>
      <c r="K96" s="6">
        <v>1.9182999999999999</v>
      </c>
      <c r="L96" s="6">
        <v>6.8993000000000002</v>
      </c>
      <c r="M96" s="6">
        <v>9.6361999999999993E-3</v>
      </c>
      <c r="N96" s="6" t="s">
        <v>20</v>
      </c>
    </row>
    <row r="97" spans="1:14" ht="17" x14ac:dyDescent="0.35">
      <c r="A97" s="9">
        <v>94.754000000000005</v>
      </c>
      <c r="B97" s="11">
        <v>5.3040000000000003</v>
      </c>
      <c r="C97" s="6">
        <v>0.78052999999999995</v>
      </c>
      <c r="D97" s="6">
        <v>1.2811999999999999</v>
      </c>
      <c r="E97" s="6">
        <v>1.7507999999999999</v>
      </c>
      <c r="F97" s="6">
        <v>2.4304000000000001</v>
      </c>
      <c r="G97" s="6">
        <v>142.06</v>
      </c>
      <c r="H97" s="6">
        <v>23.184999999999999</v>
      </c>
      <c r="I97" s="6">
        <v>38.020000000000003</v>
      </c>
      <c r="J97" s="6">
        <v>182.95</v>
      </c>
      <c r="K97" s="6">
        <v>1.9137</v>
      </c>
      <c r="L97" s="6">
        <v>6.9122000000000003</v>
      </c>
      <c r="M97" s="6">
        <v>9.6612E-3</v>
      </c>
      <c r="N97" s="6" t="s">
        <v>20</v>
      </c>
    </row>
    <row r="98" spans="1:14" ht="17" x14ac:dyDescent="0.35">
      <c r="A98" s="9">
        <v>94.891000000000005</v>
      </c>
      <c r="B98" s="11">
        <v>5.3602999999999996</v>
      </c>
      <c r="C98" s="6">
        <v>0.78859999999999997</v>
      </c>
      <c r="D98" s="6">
        <v>1.2681</v>
      </c>
      <c r="E98" s="6">
        <v>1.7518</v>
      </c>
      <c r="F98" s="6">
        <v>2.4315000000000002</v>
      </c>
      <c r="G98" s="6">
        <v>142</v>
      </c>
      <c r="H98" s="6">
        <v>23.202999999999999</v>
      </c>
      <c r="I98" s="6">
        <v>38.106999999999999</v>
      </c>
      <c r="J98" s="6">
        <v>182.97</v>
      </c>
      <c r="K98" s="6">
        <v>1.9092</v>
      </c>
      <c r="L98" s="6">
        <v>6.9250999999999996</v>
      </c>
      <c r="M98" s="6">
        <v>9.6860999999999996E-3</v>
      </c>
      <c r="N98" s="6" t="s">
        <v>20</v>
      </c>
    </row>
    <row r="99" spans="1:14" ht="17" x14ac:dyDescent="0.35">
      <c r="A99" s="9">
        <v>95.027000000000001</v>
      </c>
      <c r="B99" s="11">
        <v>5.4165999999999999</v>
      </c>
      <c r="C99" s="6">
        <v>0.79666999999999999</v>
      </c>
      <c r="D99" s="6">
        <v>1.2552000000000001</v>
      </c>
      <c r="E99" s="6">
        <v>1.7526999999999999</v>
      </c>
      <c r="F99" s="6">
        <v>2.4325999999999999</v>
      </c>
      <c r="G99" s="6">
        <v>141.94</v>
      </c>
      <c r="H99" s="6">
        <v>23.22</v>
      </c>
      <c r="I99" s="6">
        <v>38.195</v>
      </c>
      <c r="J99" s="6">
        <v>182.99</v>
      </c>
      <c r="K99" s="6">
        <v>1.9048</v>
      </c>
      <c r="L99" s="6">
        <v>6.9379</v>
      </c>
      <c r="M99" s="6">
        <v>9.7109999999999991E-3</v>
      </c>
      <c r="N99" s="6" t="s">
        <v>20</v>
      </c>
    </row>
    <row r="100" spans="1:14" ht="17" x14ac:dyDescent="0.35">
      <c r="A100" s="9">
        <v>95.162000000000006</v>
      </c>
      <c r="B100" s="11">
        <v>5.4729000000000001</v>
      </c>
      <c r="C100" s="6">
        <v>0.80474999999999997</v>
      </c>
      <c r="D100" s="6">
        <v>1.2425999999999999</v>
      </c>
      <c r="E100" s="6">
        <v>1.7536</v>
      </c>
      <c r="F100" s="6">
        <v>2.4336000000000002</v>
      </c>
      <c r="G100" s="6">
        <v>141.87</v>
      </c>
      <c r="H100" s="6">
        <v>23.238</v>
      </c>
      <c r="I100" s="6">
        <v>38.281999999999996</v>
      </c>
      <c r="J100" s="6">
        <v>183.01</v>
      </c>
      <c r="K100" s="6">
        <v>1.9004000000000001</v>
      </c>
      <c r="L100" s="6">
        <v>6.9507000000000003</v>
      </c>
      <c r="M100" s="6">
        <v>9.7357999999999993E-3</v>
      </c>
      <c r="N100" s="6" t="s">
        <v>20</v>
      </c>
    </row>
    <row r="101" spans="1:14" ht="17" x14ac:dyDescent="0.35">
      <c r="A101" s="9">
        <v>95.296000000000006</v>
      </c>
      <c r="B101" s="11">
        <v>5.5292000000000003</v>
      </c>
      <c r="C101" s="6">
        <v>0.81283000000000005</v>
      </c>
      <c r="D101" s="6">
        <v>1.2302999999999999</v>
      </c>
      <c r="E101" s="6">
        <v>1.7544</v>
      </c>
      <c r="F101" s="6">
        <v>2.4346999999999999</v>
      </c>
      <c r="G101" s="6">
        <v>141.81</v>
      </c>
      <c r="H101" s="6">
        <v>23.256</v>
      </c>
      <c r="I101" s="6">
        <v>38.369999999999997</v>
      </c>
      <c r="J101" s="6">
        <v>183.03</v>
      </c>
      <c r="K101" s="6">
        <v>1.8959999999999999</v>
      </c>
      <c r="L101" s="6">
        <v>6.9633000000000003</v>
      </c>
      <c r="M101" s="6">
        <v>9.7605999999999995E-3</v>
      </c>
      <c r="N101" s="6" t="s">
        <v>20</v>
      </c>
    </row>
    <row r="102" spans="1:14" ht="17" x14ac:dyDescent="0.35">
      <c r="A102" s="9">
        <v>95.429000000000002</v>
      </c>
      <c r="B102" s="11">
        <v>5.5854999999999997</v>
      </c>
      <c r="C102" s="6">
        <v>0.82091999999999998</v>
      </c>
      <c r="D102" s="6">
        <v>1.2181999999999999</v>
      </c>
      <c r="E102" s="6">
        <v>1.7553000000000001</v>
      </c>
      <c r="F102" s="6">
        <v>2.4357000000000002</v>
      </c>
      <c r="G102" s="6">
        <v>141.75</v>
      </c>
      <c r="H102" s="6">
        <v>23.273</v>
      </c>
      <c r="I102" s="6">
        <v>38.459000000000003</v>
      </c>
      <c r="J102" s="6">
        <v>183.05</v>
      </c>
      <c r="K102" s="6">
        <v>1.8916999999999999</v>
      </c>
      <c r="L102" s="6">
        <v>6.9759000000000002</v>
      </c>
      <c r="M102" s="6">
        <v>9.7853000000000002E-3</v>
      </c>
      <c r="N102" s="6" t="s">
        <v>20</v>
      </c>
    </row>
    <row r="103" spans="1:14" ht="17" x14ac:dyDescent="0.35">
      <c r="A103" s="9">
        <v>95.561999999999998</v>
      </c>
      <c r="B103" s="11">
        <v>5.6417000000000002</v>
      </c>
      <c r="C103" s="6">
        <v>0.82901000000000002</v>
      </c>
      <c r="D103" s="6">
        <v>1.2062999999999999</v>
      </c>
      <c r="E103" s="6">
        <v>1.7561</v>
      </c>
      <c r="F103" s="6">
        <v>2.4367000000000001</v>
      </c>
      <c r="G103" s="6">
        <v>141.69</v>
      </c>
      <c r="H103" s="6">
        <v>23.291</v>
      </c>
      <c r="I103" s="6">
        <v>38.546999999999997</v>
      </c>
      <c r="J103" s="6">
        <v>183.07</v>
      </c>
      <c r="K103" s="6">
        <v>1.8875</v>
      </c>
      <c r="L103" s="6">
        <v>6.9885000000000002</v>
      </c>
      <c r="M103" s="6">
        <v>9.8098999999999999E-3</v>
      </c>
      <c r="N103" s="6" t="s">
        <v>20</v>
      </c>
    </row>
    <row r="104" spans="1:14" ht="17" x14ac:dyDescent="0.35">
      <c r="A104" s="9">
        <v>95.692999999999998</v>
      </c>
      <c r="B104" s="11">
        <v>5.6980000000000004</v>
      </c>
      <c r="C104" s="6">
        <v>0.83709999999999996</v>
      </c>
      <c r="D104" s="6">
        <v>1.1946000000000001</v>
      </c>
      <c r="E104" s="6">
        <v>1.7569999999999999</v>
      </c>
      <c r="F104" s="6">
        <v>2.4377</v>
      </c>
      <c r="G104" s="6">
        <v>141.63</v>
      </c>
      <c r="H104" s="6">
        <v>23.308</v>
      </c>
      <c r="I104" s="6">
        <v>38.636000000000003</v>
      </c>
      <c r="J104" s="6">
        <v>183.08</v>
      </c>
      <c r="K104" s="6">
        <v>1.8833</v>
      </c>
      <c r="L104" s="6">
        <v>7.0010000000000003</v>
      </c>
      <c r="M104" s="6">
        <v>9.8344999999999995E-3</v>
      </c>
      <c r="N104" s="6" t="s">
        <v>20</v>
      </c>
    </row>
    <row r="105" spans="1:14" ht="17" x14ac:dyDescent="0.35">
      <c r="A105" s="9">
        <v>95.822999999999993</v>
      </c>
      <c r="B105" s="11">
        <v>5.7542999999999997</v>
      </c>
      <c r="C105" s="6">
        <v>0.84519999999999995</v>
      </c>
      <c r="D105" s="6">
        <v>1.1831</v>
      </c>
      <c r="E105" s="6">
        <v>1.7578</v>
      </c>
      <c r="F105" s="6">
        <v>2.4386000000000001</v>
      </c>
      <c r="G105" s="6">
        <v>141.57</v>
      </c>
      <c r="H105" s="6">
        <v>23.326000000000001</v>
      </c>
      <c r="I105" s="6">
        <v>38.723999999999997</v>
      </c>
      <c r="J105" s="6">
        <v>183.1</v>
      </c>
      <c r="K105" s="6">
        <v>1.8791</v>
      </c>
      <c r="L105" s="6">
        <v>7.0133999999999999</v>
      </c>
      <c r="M105" s="6">
        <v>9.8591000000000008E-3</v>
      </c>
      <c r="N105" s="6" t="s">
        <v>20</v>
      </c>
    </row>
    <row r="106" spans="1:14" ht="17" x14ac:dyDescent="0.35">
      <c r="A106" s="9">
        <v>95.951999999999998</v>
      </c>
      <c r="B106" s="11">
        <v>5.8106</v>
      </c>
      <c r="C106" s="6">
        <v>0.85331000000000001</v>
      </c>
      <c r="D106" s="6">
        <v>1.1718999999999999</v>
      </c>
      <c r="E106" s="6">
        <v>1.7585999999999999</v>
      </c>
      <c r="F106" s="6">
        <v>2.4394999999999998</v>
      </c>
      <c r="G106" s="6">
        <v>141.51</v>
      </c>
      <c r="H106" s="6">
        <v>23.343</v>
      </c>
      <c r="I106" s="6">
        <v>38.814</v>
      </c>
      <c r="J106" s="6">
        <v>183.11</v>
      </c>
      <c r="K106" s="6">
        <v>1.875</v>
      </c>
      <c r="L106" s="6">
        <v>7.0258000000000003</v>
      </c>
      <c r="M106" s="6">
        <v>9.8835999999999993E-3</v>
      </c>
      <c r="N106" s="6" t="s">
        <v>20</v>
      </c>
    </row>
    <row r="107" spans="1:14" ht="17" x14ac:dyDescent="0.35">
      <c r="A107" s="9">
        <v>96.08</v>
      </c>
      <c r="B107" s="11">
        <v>5.8669000000000002</v>
      </c>
      <c r="C107" s="6">
        <v>0.86141999999999996</v>
      </c>
      <c r="D107" s="6">
        <v>1.1609</v>
      </c>
      <c r="E107" s="6">
        <v>1.7593000000000001</v>
      </c>
      <c r="F107" s="6">
        <v>2.4403999999999999</v>
      </c>
      <c r="G107" s="6">
        <v>141.44999999999999</v>
      </c>
      <c r="H107" s="6">
        <v>23.361000000000001</v>
      </c>
      <c r="I107" s="6">
        <v>38.902999999999999</v>
      </c>
      <c r="J107" s="6">
        <v>183.13</v>
      </c>
      <c r="K107" s="6">
        <v>1.8709</v>
      </c>
      <c r="L107" s="6">
        <v>7.0381</v>
      </c>
      <c r="M107" s="6">
        <v>9.9080999999999995E-3</v>
      </c>
      <c r="N107" s="6" t="s">
        <v>20</v>
      </c>
    </row>
    <row r="108" spans="1:14" ht="17" x14ac:dyDescent="0.35">
      <c r="A108" s="9">
        <v>96.207999999999998</v>
      </c>
      <c r="B108" s="11">
        <v>5.9231999999999996</v>
      </c>
      <c r="C108" s="6">
        <v>0.86953000000000003</v>
      </c>
      <c r="D108" s="6">
        <v>1.1499999999999999</v>
      </c>
      <c r="E108" s="6">
        <v>1.7601</v>
      </c>
      <c r="F108" s="6">
        <v>2.4413</v>
      </c>
      <c r="G108" s="6">
        <v>141.38999999999999</v>
      </c>
      <c r="H108" s="6">
        <v>23.378</v>
      </c>
      <c r="I108" s="6">
        <v>38.991999999999997</v>
      </c>
      <c r="J108" s="6">
        <v>183.14</v>
      </c>
      <c r="K108" s="6">
        <v>1.8669</v>
      </c>
      <c r="L108" s="6">
        <v>7.0503</v>
      </c>
      <c r="M108" s="6">
        <v>9.9325000000000004E-3</v>
      </c>
      <c r="N108" s="6" t="s">
        <v>20</v>
      </c>
    </row>
    <row r="109" spans="1:14" ht="17" x14ac:dyDescent="0.35">
      <c r="A109" s="9">
        <v>96.334999999999994</v>
      </c>
      <c r="B109" s="11">
        <v>5.9794999999999998</v>
      </c>
      <c r="C109" s="6">
        <v>0.87765000000000004</v>
      </c>
      <c r="D109" s="6">
        <v>1.1394</v>
      </c>
      <c r="E109" s="6">
        <v>1.7607999999999999</v>
      </c>
      <c r="F109" s="6">
        <v>2.4420999999999999</v>
      </c>
      <c r="G109" s="6">
        <v>141.33000000000001</v>
      </c>
      <c r="H109" s="6">
        <v>23.396000000000001</v>
      </c>
      <c r="I109" s="6">
        <v>39.082000000000001</v>
      </c>
      <c r="J109" s="6">
        <v>183.15</v>
      </c>
      <c r="K109" s="6">
        <v>1.8629</v>
      </c>
      <c r="L109" s="6">
        <v>7.0625</v>
      </c>
      <c r="M109" s="6">
        <v>9.9568999999999994E-3</v>
      </c>
      <c r="N109" s="6" t="s">
        <v>20</v>
      </c>
    </row>
    <row r="110" spans="1:14" ht="17" x14ac:dyDescent="0.35">
      <c r="A110" s="9">
        <v>96.46</v>
      </c>
      <c r="B110" s="11">
        <v>6.0358000000000001</v>
      </c>
      <c r="C110" s="6">
        <v>0.88578000000000001</v>
      </c>
      <c r="D110" s="6">
        <v>1.129</v>
      </c>
      <c r="E110" s="6">
        <v>1.7615000000000001</v>
      </c>
      <c r="F110" s="6">
        <v>2.4428999999999998</v>
      </c>
      <c r="G110" s="6">
        <v>141.28</v>
      </c>
      <c r="H110" s="6">
        <v>23.413</v>
      </c>
      <c r="I110" s="6">
        <v>39.171999999999997</v>
      </c>
      <c r="J110" s="6">
        <v>183.17</v>
      </c>
      <c r="K110" s="6">
        <v>1.8589</v>
      </c>
      <c r="L110" s="6">
        <v>7.0746000000000002</v>
      </c>
      <c r="M110" s="6">
        <v>9.9813000000000002E-3</v>
      </c>
      <c r="N110" s="6" t="s">
        <v>20</v>
      </c>
    </row>
    <row r="111" spans="1:14" ht="17" x14ac:dyDescent="0.35">
      <c r="A111" s="9">
        <v>96.584999999999994</v>
      </c>
      <c r="B111" s="11">
        <v>6.0921000000000003</v>
      </c>
      <c r="C111" s="6">
        <v>0.89390999999999998</v>
      </c>
      <c r="D111" s="6">
        <v>1.1187</v>
      </c>
      <c r="E111" s="6">
        <v>1.7622</v>
      </c>
      <c r="F111" s="6">
        <v>2.4437000000000002</v>
      </c>
      <c r="G111" s="6">
        <v>141.22</v>
      </c>
      <c r="H111" s="6">
        <v>23.431000000000001</v>
      </c>
      <c r="I111" s="6">
        <v>39.262</v>
      </c>
      <c r="J111" s="6">
        <v>183.18</v>
      </c>
      <c r="K111" s="6">
        <v>1.855</v>
      </c>
      <c r="L111" s="6">
        <v>7.0867000000000004</v>
      </c>
      <c r="M111" s="6">
        <v>1.0005999999999999E-2</v>
      </c>
      <c r="N111" s="6" t="s">
        <v>20</v>
      </c>
    </row>
    <row r="112" spans="1:14" ht="17" x14ac:dyDescent="0.35">
      <c r="A112" s="9">
        <v>96.709000000000003</v>
      </c>
      <c r="B112" s="11">
        <v>6.1483999999999996</v>
      </c>
      <c r="C112" s="6">
        <v>0.90203999999999995</v>
      </c>
      <c r="D112" s="6">
        <v>1.1086</v>
      </c>
      <c r="E112" s="6">
        <v>1.7628999999999999</v>
      </c>
      <c r="F112" s="6">
        <v>2.4445000000000001</v>
      </c>
      <c r="G112" s="6">
        <v>141.16</v>
      </c>
      <c r="H112" s="6">
        <v>23.448</v>
      </c>
      <c r="I112" s="6">
        <v>39.351999999999997</v>
      </c>
      <c r="J112" s="6">
        <v>183.19</v>
      </c>
      <c r="K112" s="6">
        <v>1.8511</v>
      </c>
      <c r="L112" s="6">
        <v>7.0987</v>
      </c>
      <c r="M112" s="6">
        <v>1.0030000000000001E-2</v>
      </c>
      <c r="N112" s="6" t="s">
        <v>20</v>
      </c>
    </row>
    <row r="113" spans="1:14" ht="17" x14ac:dyDescent="0.35">
      <c r="A113" s="9">
        <v>96.832999999999998</v>
      </c>
      <c r="B113" s="11">
        <v>6.2046999999999999</v>
      </c>
      <c r="C113" s="6">
        <v>0.91019000000000005</v>
      </c>
      <c r="D113" s="6">
        <v>1.0987</v>
      </c>
      <c r="E113" s="6">
        <v>1.7636000000000001</v>
      </c>
      <c r="F113" s="6">
        <v>2.4453</v>
      </c>
      <c r="G113" s="6">
        <v>141.11000000000001</v>
      </c>
      <c r="H113" s="6">
        <v>23.465</v>
      </c>
      <c r="I113" s="6">
        <v>39.442999999999998</v>
      </c>
      <c r="J113" s="6">
        <v>183.2</v>
      </c>
      <c r="K113" s="6">
        <v>1.8472999999999999</v>
      </c>
      <c r="L113" s="6">
        <v>7.1106999999999996</v>
      </c>
      <c r="M113" s="6">
        <v>1.0054E-2</v>
      </c>
      <c r="N113" s="6" t="s">
        <v>20</v>
      </c>
    </row>
    <row r="114" spans="1:14" ht="17" x14ac:dyDescent="0.35">
      <c r="A114" s="9">
        <v>96.954999999999998</v>
      </c>
      <c r="B114" s="11">
        <v>6.2610000000000001</v>
      </c>
      <c r="C114" s="6">
        <v>0.91832999999999998</v>
      </c>
      <c r="D114" s="6">
        <v>1.0889</v>
      </c>
      <c r="E114" s="6">
        <v>1.7642</v>
      </c>
      <c r="F114" s="6">
        <v>2.4460000000000002</v>
      </c>
      <c r="G114" s="6">
        <v>141.05000000000001</v>
      </c>
      <c r="H114" s="6">
        <v>23.483000000000001</v>
      </c>
      <c r="I114" s="6">
        <v>39.533999999999999</v>
      </c>
      <c r="J114" s="6">
        <v>183.21</v>
      </c>
      <c r="K114" s="6">
        <v>1.8434999999999999</v>
      </c>
      <c r="L114" s="6">
        <v>7.1226000000000003</v>
      </c>
      <c r="M114" s="6">
        <v>1.0078E-2</v>
      </c>
      <c r="N114" s="6" t="s">
        <v>20</v>
      </c>
    </row>
    <row r="115" spans="1:14" ht="17" x14ac:dyDescent="0.35">
      <c r="A115" s="9">
        <v>97.076999999999998</v>
      </c>
      <c r="B115" s="11">
        <v>6.3171999999999997</v>
      </c>
      <c r="C115" s="6">
        <v>0.92647999999999997</v>
      </c>
      <c r="D115" s="6">
        <v>1.0792999999999999</v>
      </c>
      <c r="E115" s="6">
        <v>1.7648999999999999</v>
      </c>
      <c r="F115" s="6">
        <v>2.4466999999999999</v>
      </c>
      <c r="G115" s="6">
        <v>140.99</v>
      </c>
      <c r="H115" s="6">
        <v>23.5</v>
      </c>
      <c r="I115" s="6">
        <v>39.625</v>
      </c>
      <c r="J115" s="6">
        <v>183.22</v>
      </c>
      <c r="K115" s="6">
        <v>1.8396999999999999</v>
      </c>
      <c r="L115" s="6">
        <v>7.1345000000000001</v>
      </c>
      <c r="M115" s="6">
        <v>1.0102999999999999E-2</v>
      </c>
      <c r="N115" s="6" t="s">
        <v>20</v>
      </c>
    </row>
    <row r="116" spans="1:14" ht="17" x14ac:dyDescent="0.35">
      <c r="A116" s="9">
        <v>97.197999999999993</v>
      </c>
      <c r="B116" s="11">
        <v>6.3734999999999999</v>
      </c>
      <c r="C116" s="6">
        <v>0.93464000000000003</v>
      </c>
      <c r="D116" s="6">
        <v>1.0699000000000001</v>
      </c>
      <c r="E116" s="6">
        <v>1.7655000000000001</v>
      </c>
      <c r="F116" s="6">
        <v>2.4474</v>
      </c>
      <c r="G116" s="6">
        <v>140.94</v>
      </c>
      <c r="H116" s="6">
        <v>23.516999999999999</v>
      </c>
      <c r="I116" s="6">
        <v>39.716000000000001</v>
      </c>
      <c r="J116" s="6">
        <v>183.22</v>
      </c>
      <c r="K116" s="6">
        <v>1.8360000000000001</v>
      </c>
      <c r="L116" s="6">
        <v>7.1463000000000001</v>
      </c>
      <c r="M116" s="6">
        <v>1.0127000000000001E-2</v>
      </c>
      <c r="N116" s="6" t="s">
        <v>20</v>
      </c>
    </row>
    <row r="117" spans="1:14" ht="17" x14ac:dyDescent="0.35">
      <c r="A117" s="9">
        <v>97.317999999999998</v>
      </c>
      <c r="B117" s="11">
        <v>6.4298000000000002</v>
      </c>
      <c r="C117" s="6">
        <v>0.94279999999999997</v>
      </c>
      <c r="D117" s="6">
        <v>1.0607</v>
      </c>
      <c r="E117" s="6">
        <v>1.7661</v>
      </c>
      <c r="F117" s="6">
        <v>2.4481000000000002</v>
      </c>
      <c r="G117" s="6">
        <v>140.88</v>
      </c>
      <c r="H117" s="6">
        <v>23.535</v>
      </c>
      <c r="I117" s="6">
        <v>39.808</v>
      </c>
      <c r="J117" s="6">
        <v>183.23</v>
      </c>
      <c r="K117" s="6">
        <v>1.8323</v>
      </c>
      <c r="L117" s="6">
        <v>7.1581000000000001</v>
      </c>
      <c r="M117" s="6">
        <v>1.0151E-2</v>
      </c>
      <c r="N117" s="6" t="s">
        <v>20</v>
      </c>
    </row>
    <row r="118" spans="1:14" ht="17" x14ac:dyDescent="0.35">
      <c r="A118" s="9">
        <v>97.436999999999998</v>
      </c>
      <c r="B118" s="11">
        <v>6.4861000000000004</v>
      </c>
      <c r="C118" s="6">
        <v>0.95096999999999998</v>
      </c>
      <c r="D118" s="6">
        <v>1.0516000000000001</v>
      </c>
      <c r="E118" s="6">
        <v>1.7666999999999999</v>
      </c>
      <c r="F118" s="6">
        <v>2.4487000000000001</v>
      </c>
      <c r="G118" s="6">
        <v>140.83000000000001</v>
      </c>
      <c r="H118" s="6">
        <v>23.552</v>
      </c>
      <c r="I118" s="6">
        <v>39.9</v>
      </c>
      <c r="J118" s="6">
        <v>183.24</v>
      </c>
      <c r="K118" s="6">
        <v>1.8286</v>
      </c>
      <c r="L118" s="6">
        <v>7.1698000000000004</v>
      </c>
      <c r="M118" s="6">
        <v>1.0175E-2</v>
      </c>
      <c r="N118" s="6" t="s">
        <v>20</v>
      </c>
    </row>
    <row r="119" spans="1:14" ht="17" x14ac:dyDescent="0.35">
      <c r="A119" s="9">
        <v>97.555999999999997</v>
      </c>
      <c r="B119" s="11">
        <v>6.5423999999999998</v>
      </c>
      <c r="C119" s="6">
        <v>0.95914999999999995</v>
      </c>
      <c r="D119" s="6">
        <v>1.0426</v>
      </c>
      <c r="E119" s="6">
        <v>1.7672000000000001</v>
      </c>
      <c r="F119" s="6">
        <v>2.4493999999999998</v>
      </c>
      <c r="G119" s="6">
        <v>140.78</v>
      </c>
      <c r="H119" s="6">
        <v>23.568999999999999</v>
      </c>
      <c r="I119" s="6">
        <v>39.991999999999997</v>
      </c>
      <c r="J119" s="6">
        <v>183.24</v>
      </c>
      <c r="K119" s="6">
        <v>1.825</v>
      </c>
      <c r="L119" s="6">
        <v>7.1814999999999998</v>
      </c>
      <c r="M119" s="6">
        <v>1.0199E-2</v>
      </c>
      <c r="N119" s="6" t="s">
        <v>20</v>
      </c>
    </row>
    <row r="120" spans="1:14" ht="17" x14ac:dyDescent="0.35">
      <c r="A120" s="9">
        <v>97.673000000000002</v>
      </c>
      <c r="B120" s="11">
        <v>6.5987</v>
      </c>
      <c r="C120" s="6">
        <v>0.96733000000000002</v>
      </c>
      <c r="D120" s="6">
        <v>1.0338000000000001</v>
      </c>
      <c r="E120" s="6">
        <v>1.7678</v>
      </c>
      <c r="F120" s="6">
        <v>2.4500000000000002</v>
      </c>
      <c r="G120" s="6">
        <v>140.72</v>
      </c>
      <c r="H120" s="6">
        <v>23.585999999999999</v>
      </c>
      <c r="I120" s="6">
        <v>40.085000000000001</v>
      </c>
      <c r="J120" s="6">
        <v>183.25</v>
      </c>
      <c r="K120" s="6">
        <v>1.8213999999999999</v>
      </c>
      <c r="L120" s="6">
        <v>7.1931000000000003</v>
      </c>
      <c r="M120" s="6">
        <v>1.0222999999999999E-2</v>
      </c>
      <c r="N120" s="6" t="s">
        <v>20</v>
      </c>
    </row>
    <row r="121" spans="1:14" ht="17" x14ac:dyDescent="0.35">
      <c r="A121" s="9">
        <v>97.790999999999997</v>
      </c>
      <c r="B121" s="11">
        <v>6.6550000000000002</v>
      </c>
      <c r="C121" s="6">
        <v>0.97552000000000005</v>
      </c>
      <c r="D121" s="6">
        <v>1.0250999999999999</v>
      </c>
      <c r="E121" s="6">
        <v>1.7684</v>
      </c>
      <c r="F121" s="6">
        <v>2.4506000000000001</v>
      </c>
      <c r="G121" s="6">
        <v>140.66999999999999</v>
      </c>
      <c r="H121" s="6">
        <v>23.603999999999999</v>
      </c>
      <c r="I121" s="6">
        <v>40.177</v>
      </c>
      <c r="J121" s="6">
        <v>183.25</v>
      </c>
      <c r="K121" s="6">
        <v>1.8178000000000001</v>
      </c>
      <c r="L121" s="6">
        <v>7.2046999999999999</v>
      </c>
      <c r="M121" s="6">
        <v>1.0246999999999999E-2</v>
      </c>
      <c r="N121" s="6" t="s">
        <v>20</v>
      </c>
    </row>
    <row r="122" spans="1:14" ht="17" x14ac:dyDescent="0.35">
      <c r="A122" s="9">
        <v>97.906999999999996</v>
      </c>
      <c r="B122" s="11">
        <v>6.7112999999999996</v>
      </c>
      <c r="C122" s="6">
        <v>0.98370999999999997</v>
      </c>
      <c r="D122" s="6">
        <v>1.0165999999999999</v>
      </c>
      <c r="E122" s="6">
        <v>1.7688999999999999</v>
      </c>
      <c r="F122" s="6">
        <v>2.4510999999999998</v>
      </c>
      <c r="G122" s="6">
        <v>140.62</v>
      </c>
      <c r="H122" s="6">
        <v>23.620999999999999</v>
      </c>
      <c r="I122" s="6">
        <v>40.270000000000003</v>
      </c>
      <c r="J122" s="6">
        <v>183.26</v>
      </c>
      <c r="K122" s="6">
        <v>1.8143</v>
      </c>
      <c r="L122" s="6">
        <v>7.2163000000000004</v>
      </c>
      <c r="M122" s="6">
        <v>1.0271000000000001E-2</v>
      </c>
      <c r="N122" s="6" t="s">
        <v>20</v>
      </c>
    </row>
    <row r="123" spans="1:14" ht="17" x14ac:dyDescent="0.35">
      <c r="A123" s="9">
        <v>98.022999999999996</v>
      </c>
      <c r="B123" s="11">
        <v>6.7675999999999998</v>
      </c>
      <c r="C123" s="6">
        <v>0.99190999999999996</v>
      </c>
      <c r="D123" s="6">
        <v>1.0082</v>
      </c>
      <c r="E123" s="6">
        <v>1.7694000000000001</v>
      </c>
      <c r="F123" s="6">
        <v>2.4517000000000002</v>
      </c>
      <c r="G123" s="6">
        <v>140.56</v>
      </c>
      <c r="H123" s="6">
        <v>23.638000000000002</v>
      </c>
      <c r="I123" s="6">
        <v>40.363</v>
      </c>
      <c r="J123" s="6">
        <v>183.26</v>
      </c>
      <c r="K123" s="6">
        <v>1.8108</v>
      </c>
      <c r="L123" s="6">
        <v>7.2278000000000002</v>
      </c>
      <c r="M123" s="6">
        <v>1.0295E-2</v>
      </c>
      <c r="N123" s="6" t="s">
        <v>20</v>
      </c>
    </row>
    <row r="124" spans="1:14" ht="17" x14ac:dyDescent="0.35">
      <c r="A124" s="9">
        <v>98.138000000000005</v>
      </c>
      <c r="B124" s="11">
        <v>6.8239000000000001</v>
      </c>
      <c r="C124" s="6">
        <v>1.0001</v>
      </c>
      <c r="D124" s="6">
        <v>0.99988999999999995</v>
      </c>
      <c r="E124" s="6">
        <v>1.7699</v>
      </c>
      <c r="F124" s="6">
        <v>2.4521999999999999</v>
      </c>
      <c r="G124" s="6">
        <v>140.51</v>
      </c>
      <c r="H124" s="6">
        <v>23.655000000000001</v>
      </c>
      <c r="I124" s="6">
        <v>40.457000000000001</v>
      </c>
      <c r="J124" s="6">
        <v>183.27</v>
      </c>
      <c r="K124" s="6">
        <v>1.8072999999999999</v>
      </c>
      <c r="L124" s="6">
        <v>7.2392000000000003</v>
      </c>
      <c r="M124" s="6">
        <v>1.0319E-2</v>
      </c>
      <c r="N124" s="6" t="s">
        <v>20</v>
      </c>
    </row>
    <row r="125" spans="1:14" ht="17" x14ac:dyDescent="0.35">
      <c r="A125" s="9">
        <v>98.251999999999995</v>
      </c>
      <c r="B125" s="11">
        <v>6.8802000000000003</v>
      </c>
      <c r="C125" s="6">
        <v>1.0083</v>
      </c>
      <c r="D125" s="6">
        <v>0.99173999999999995</v>
      </c>
      <c r="E125" s="6">
        <v>1.7704</v>
      </c>
      <c r="F125" s="6">
        <v>2.4527000000000001</v>
      </c>
      <c r="G125" s="6">
        <v>140.46</v>
      </c>
      <c r="H125" s="6">
        <v>23.672000000000001</v>
      </c>
      <c r="I125" s="6">
        <v>40.551000000000002</v>
      </c>
      <c r="J125" s="6">
        <v>183.27</v>
      </c>
      <c r="K125" s="6">
        <v>1.8038000000000001</v>
      </c>
      <c r="L125" s="6">
        <v>7.2506000000000004</v>
      </c>
      <c r="M125" s="6">
        <v>1.0343E-2</v>
      </c>
      <c r="N125" s="6" t="s">
        <v>20</v>
      </c>
    </row>
    <row r="126" spans="1:14" ht="17" x14ac:dyDescent="0.35">
      <c r="A126" s="9">
        <v>98.366</v>
      </c>
      <c r="B126" s="11">
        <v>6.9363999999999999</v>
      </c>
      <c r="C126" s="6">
        <v>1.0165</v>
      </c>
      <c r="D126" s="6">
        <v>0.98372000000000004</v>
      </c>
      <c r="E126" s="6">
        <v>1.7708999999999999</v>
      </c>
      <c r="F126" s="6">
        <v>2.4531999999999998</v>
      </c>
      <c r="G126" s="6">
        <v>140.41</v>
      </c>
      <c r="H126" s="6">
        <v>23.689</v>
      </c>
      <c r="I126" s="6">
        <v>40.645000000000003</v>
      </c>
      <c r="J126" s="6">
        <v>183.27</v>
      </c>
      <c r="K126" s="6">
        <v>1.8004</v>
      </c>
      <c r="L126" s="6">
        <v>7.2619999999999996</v>
      </c>
      <c r="M126" s="6">
        <v>1.0366999999999999E-2</v>
      </c>
      <c r="N126" s="6" t="s">
        <v>20</v>
      </c>
    </row>
    <row r="127" spans="1:14" ht="17" x14ac:dyDescent="0.35">
      <c r="A127" s="9">
        <v>98.478999999999999</v>
      </c>
      <c r="B127" s="11">
        <v>6.9927000000000001</v>
      </c>
      <c r="C127" s="6">
        <v>1.0247999999999999</v>
      </c>
      <c r="D127" s="6">
        <v>0.97582999999999998</v>
      </c>
      <c r="E127" s="6">
        <v>1.7713000000000001</v>
      </c>
      <c r="F127" s="6">
        <v>2.4537</v>
      </c>
      <c r="G127" s="6">
        <v>140.36000000000001</v>
      </c>
      <c r="H127" s="6">
        <v>23.707000000000001</v>
      </c>
      <c r="I127" s="6">
        <v>40.738999999999997</v>
      </c>
      <c r="J127" s="6">
        <v>183.27</v>
      </c>
      <c r="K127" s="6">
        <v>1.7969999999999999</v>
      </c>
      <c r="L127" s="6">
        <v>7.2733999999999996</v>
      </c>
      <c r="M127" s="6">
        <v>1.0390999999999999E-2</v>
      </c>
      <c r="N127" s="6" t="s">
        <v>20</v>
      </c>
    </row>
    <row r="128" spans="1:14" ht="17" x14ac:dyDescent="0.35">
      <c r="A128" s="9">
        <v>98.590999999999994</v>
      </c>
      <c r="B128" s="11">
        <v>7.0490000000000004</v>
      </c>
      <c r="C128" s="6">
        <v>1.0329999999999999</v>
      </c>
      <c r="D128" s="6">
        <v>0.96804999999999997</v>
      </c>
      <c r="E128" s="6">
        <v>1.7718</v>
      </c>
      <c r="F128" s="6">
        <v>2.4542000000000002</v>
      </c>
      <c r="G128" s="6">
        <v>140.31</v>
      </c>
      <c r="H128" s="6">
        <v>23.724</v>
      </c>
      <c r="I128" s="6">
        <v>40.834000000000003</v>
      </c>
      <c r="J128" s="6">
        <v>183.28</v>
      </c>
      <c r="K128" s="6">
        <v>1.7937000000000001</v>
      </c>
      <c r="L128" s="6">
        <v>7.2846000000000002</v>
      </c>
      <c r="M128" s="6">
        <v>1.0415000000000001E-2</v>
      </c>
      <c r="N128" s="6" t="s">
        <v>20</v>
      </c>
    </row>
    <row r="129" spans="1:14" ht="17" x14ac:dyDescent="0.35">
      <c r="A129" s="9">
        <v>98.703000000000003</v>
      </c>
      <c r="B129" s="11">
        <v>7.1052999999999997</v>
      </c>
      <c r="C129" s="6">
        <v>1.0411999999999999</v>
      </c>
      <c r="D129" s="6">
        <v>0.96038999999999997</v>
      </c>
      <c r="E129" s="6">
        <v>1.7722</v>
      </c>
      <c r="F129" s="6">
        <v>2.4546000000000001</v>
      </c>
      <c r="G129" s="6">
        <v>140.26</v>
      </c>
      <c r="H129" s="6">
        <v>23.741</v>
      </c>
      <c r="I129" s="6">
        <v>40.927999999999997</v>
      </c>
      <c r="J129" s="6">
        <v>183.28</v>
      </c>
      <c r="K129" s="6">
        <v>1.7904</v>
      </c>
      <c r="L129" s="6">
        <v>7.2958999999999996</v>
      </c>
      <c r="M129" s="6">
        <v>1.0439E-2</v>
      </c>
      <c r="N129" s="6" t="s">
        <v>20</v>
      </c>
    </row>
    <row r="130" spans="1:14" ht="17" x14ac:dyDescent="0.35">
      <c r="A130" s="9">
        <v>98.813999999999993</v>
      </c>
      <c r="B130" s="11">
        <v>7.1616</v>
      </c>
      <c r="C130" s="6">
        <v>1.0495000000000001</v>
      </c>
      <c r="D130" s="6">
        <v>0.95284999999999997</v>
      </c>
      <c r="E130" s="6">
        <v>1.7726</v>
      </c>
      <c r="F130" s="6">
        <v>2.4550000000000001</v>
      </c>
      <c r="G130" s="6">
        <v>140.21</v>
      </c>
      <c r="H130" s="6">
        <v>23.757999999999999</v>
      </c>
      <c r="I130" s="6">
        <v>41.024000000000001</v>
      </c>
      <c r="J130" s="6">
        <v>183.28</v>
      </c>
      <c r="K130" s="6">
        <v>1.7870999999999999</v>
      </c>
      <c r="L130" s="6">
        <v>7.3071000000000002</v>
      </c>
      <c r="M130" s="6">
        <v>1.0463E-2</v>
      </c>
      <c r="N130" s="6" t="s">
        <v>20</v>
      </c>
    </row>
    <row r="131" spans="1:14" ht="17" x14ac:dyDescent="0.35">
      <c r="A131" s="9">
        <v>98.924999999999997</v>
      </c>
      <c r="B131" s="11">
        <v>7.2179000000000002</v>
      </c>
      <c r="C131" s="6">
        <v>1.0577000000000001</v>
      </c>
      <c r="D131" s="6">
        <v>0.94542000000000004</v>
      </c>
      <c r="E131" s="6">
        <v>1.7729999999999999</v>
      </c>
      <c r="F131" s="6">
        <v>2.4554</v>
      </c>
      <c r="G131" s="6">
        <v>140.16</v>
      </c>
      <c r="H131" s="6">
        <v>23.774999999999999</v>
      </c>
      <c r="I131" s="6">
        <v>41.119</v>
      </c>
      <c r="J131" s="6">
        <v>183.28</v>
      </c>
      <c r="K131" s="6">
        <v>1.7838000000000001</v>
      </c>
      <c r="L131" s="6">
        <v>7.3182999999999998</v>
      </c>
      <c r="M131" s="6">
        <v>1.0487E-2</v>
      </c>
      <c r="N131" s="6" t="s">
        <v>20</v>
      </c>
    </row>
    <row r="132" spans="1:14" ht="17" x14ac:dyDescent="0.35">
      <c r="A132" s="9">
        <v>99.034000000000006</v>
      </c>
      <c r="B132" s="11">
        <v>7.2742000000000004</v>
      </c>
      <c r="C132" s="6">
        <v>1.0660000000000001</v>
      </c>
      <c r="D132" s="6">
        <v>0.93808999999999998</v>
      </c>
      <c r="E132" s="6">
        <v>1.7734000000000001</v>
      </c>
      <c r="F132" s="6">
        <v>2.4558</v>
      </c>
      <c r="G132" s="6">
        <v>140.11000000000001</v>
      </c>
      <c r="H132" s="6">
        <v>23.792000000000002</v>
      </c>
      <c r="I132" s="6">
        <v>41.215000000000003</v>
      </c>
      <c r="J132" s="6">
        <v>183.28</v>
      </c>
      <c r="K132" s="6">
        <v>1.7805</v>
      </c>
      <c r="L132" s="6">
        <v>7.3293999999999997</v>
      </c>
      <c r="M132" s="6">
        <v>1.0511E-2</v>
      </c>
      <c r="N132" s="6" t="s">
        <v>20</v>
      </c>
    </row>
    <row r="133" spans="1:14" ht="17" x14ac:dyDescent="0.35">
      <c r="A133" s="9">
        <v>99.144000000000005</v>
      </c>
      <c r="B133" s="11">
        <v>7.3304999999999998</v>
      </c>
      <c r="C133" s="6">
        <v>1.0743</v>
      </c>
      <c r="D133" s="6">
        <v>0.93088000000000004</v>
      </c>
      <c r="E133" s="6">
        <v>1.7738</v>
      </c>
      <c r="F133" s="6">
        <v>2.4561999999999999</v>
      </c>
      <c r="G133" s="6">
        <v>140.06</v>
      </c>
      <c r="H133" s="6">
        <v>23.809000000000001</v>
      </c>
      <c r="I133" s="6">
        <v>41.311</v>
      </c>
      <c r="J133" s="6">
        <v>183.27</v>
      </c>
      <c r="K133" s="6">
        <v>1.7773000000000001</v>
      </c>
      <c r="L133" s="6">
        <v>7.3404999999999996</v>
      </c>
      <c r="M133" s="6">
        <v>1.0534E-2</v>
      </c>
      <c r="N133" s="6" t="s">
        <v>20</v>
      </c>
    </row>
    <row r="134" spans="1:14" ht="17" x14ac:dyDescent="0.35">
      <c r="A134" s="9">
        <v>99.251999999999995</v>
      </c>
      <c r="B134" s="11">
        <v>7.3868</v>
      </c>
      <c r="C134" s="6">
        <v>1.0825</v>
      </c>
      <c r="D134" s="6">
        <v>0.92376000000000003</v>
      </c>
      <c r="E134" s="6">
        <v>1.7742</v>
      </c>
      <c r="F134" s="6">
        <v>2.4565999999999999</v>
      </c>
      <c r="G134" s="6">
        <v>140.01</v>
      </c>
      <c r="H134" s="6">
        <v>23.826000000000001</v>
      </c>
      <c r="I134" s="6">
        <v>41.406999999999996</v>
      </c>
      <c r="J134" s="6">
        <v>183.27</v>
      </c>
      <c r="K134" s="6">
        <v>1.7741</v>
      </c>
      <c r="L134" s="6">
        <v>7.3516000000000004</v>
      </c>
      <c r="M134" s="6">
        <v>1.0558E-2</v>
      </c>
      <c r="N134" s="6" t="s">
        <v>20</v>
      </c>
    </row>
    <row r="135" spans="1:14" ht="17" x14ac:dyDescent="0.35">
      <c r="A135" s="9">
        <v>99.36</v>
      </c>
      <c r="B135" s="11">
        <v>7.4431000000000003</v>
      </c>
      <c r="C135" s="6">
        <v>1.0908</v>
      </c>
      <c r="D135" s="6">
        <v>0.91674999999999995</v>
      </c>
      <c r="E135" s="6">
        <v>1.7746</v>
      </c>
      <c r="F135" s="6">
        <v>2.4569000000000001</v>
      </c>
      <c r="G135" s="6">
        <v>139.96</v>
      </c>
      <c r="H135" s="6">
        <v>23.843</v>
      </c>
      <c r="I135" s="6">
        <v>41.503999999999998</v>
      </c>
      <c r="J135" s="6">
        <v>183.27</v>
      </c>
      <c r="K135" s="6">
        <v>1.7708999999999999</v>
      </c>
      <c r="L135" s="6">
        <v>7.3627000000000002</v>
      </c>
      <c r="M135" s="6">
        <v>1.0581999999999999E-2</v>
      </c>
      <c r="N135" s="6" t="s">
        <v>20</v>
      </c>
    </row>
    <row r="136" spans="1:14" ht="17" x14ac:dyDescent="0.35">
      <c r="A136" s="9">
        <v>99.468000000000004</v>
      </c>
      <c r="B136" s="11">
        <v>7.4993999999999996</v>
      </c>
      <c r="C136" s="6">
        <v>1.0991</v>
      </c>
      <c r="D136" s="6">
        <v>0.90983999999999998</v>
      </c>
      <c r="E136" s="6">
        <v>1.7748999999999999</v>
      </c>
      <c r="F136" s="6">
        <v>2.4571999999999998</v>
      </c>
      <c r="G136" s="6">
        <v>139.91</v>
      </c>
      <c r="H136" s="6">
        <v>23.86</v>
      </c>
      <c r="I136" s="6">
        <v>41.600999999999999</v>
      </c>
      <c r="J136" s="6">
        <v>183.27</v>
      </c>
      <c r="K136" s="6">
        <v>1.7678</v>
      </c>
      <c r="L136" s="6">
        <v>7.3737000000000004</v>
      </c>
      <c r="M136" s="6">
        <v>1.0606000000000001E-2</v>
      </c>
      <c r="N136" s="6" t="s">
        <v>20</v>
      </c>
    </row>
    <row r="137" spans="1:14" ht="17" x14ac:dyDescent="0.35">
      <c r="A137" s="9">
        <v>99.575000000000003</v>
      </c>
      <c r="B137" s="11">
        <v>7.5556999999999999</v>
      </c>
      <c r="C137" s="6">
        <v>1.1073999999999999</v>
      </c>
      <c r="D137" s="6">
        <v>0.90303</v>
      </c>
      <c r="E137" s="6">
        <v>1.7753000000000001</v>
      </c>
      <c r="F137" s="6">
        <v>2.4575</v>
      </c>
      <c r="G137" s="6">
        <v>139.86000000000001</v>
      </c>
      <c r="H137" s="6">
        <v>23.876999999999999</v>
      </c>
      <c r="I137" s="6">
        <v>41.698</v>
      </c>
      <c r="J137" s="6">
        <v>183.27</v>
      </c>
      <c r="K137" s="6">
        <v>1.7645999999999999</v>
      </c>
      <c r="L137" s="6">
        <v>7.3845999999999998</v>
      </c>
      <c r="M137" s="6">
        <v>1.0630000000000001E-2</v>
      </c>
      <c r="N137" s="6" t="s">
        <v>20</v>
      </c>
    </row>
    <row r="138" spans="1:14" ht="17" x14ac:dyDescent="0.35">
      <c r="A138" s="9">
        <v>99.680999999999997</v>
      </c>
      <c r="B138" s="11">
        <v>7.6119000000000003</v>
      </c>
      <c r="C138" s="6">
        <v>1.1156999999999999</v>
      </c>
      <c r="D138" s="6">
        <v>0.89631000000000005</v>
      </c>
      <c r="E138" s="6">
        <v>1.7756000000000001</v>
      </c>
      <c r="F138" s="6">
        <v>2.4578000000000002</v>
      </c>
      <c r="G138" s="6">
        <v>139.81</v>
      </c>
      <c r="H138" s="6">
        <v>23.893999999999998</v>
      </c>
      <c r="I138" s="6">
        <v>41.795999999999999</v>
      </c>
      <c r="J138" s="6">
        <v>183.26</v>
      </c>
      <c r="K138" s="6">
        <v>1.7615000000000001</v>
      </c>
      <c r="L138" s="6">
        <v>7.3956</v>
      </c>
      <c r="M138" s="6">
        <v>1.0654E-2</v>
      </c>
      <c r="N138" s="6" t="s">
        <v>20</v>
      </c>
    </row>
    <row r="139" spans="1:14" ht="17" x14ac:dyDescent="0.35">
      <c r="A139" s="9">
        <v>99.787000000000006</v>
      </c>
      <c r="B139" s="11">
        <v>7.6681999999999997</v>
      </c>
      <c r="C139" s="6">
        <v>1.1240000000000001</v>
      </c>
      <c r="D139" s="6">
        <v>0.88968000000000003</v>
      </c>
      <c r="E139" s="6">
        <v>1.7759</v>
      </c>
      <c r="F139" s="6">
        <v>2.4581</v>
      </c>
      <c r="G139" s="6">
        <v>139.77000000000001</v>
      </c>
      <c r="H139" s="6">
        <v>23.911999999999999</v>
      </c>
      <c r="I139" s="6">
        <v>41.893999999999998</v>
      </c>
      <c r="J139" s="6">
        <v>183.26</v>
      </c>
      <c r="K139" s="6">
        <v>1.7585</v>
      </c>
      <c r="L139" s="6">
        <v>7.4065000000000003</v>
      </c>
      <c r="M139" s="6">
        <v>1.0677000000000001E-2</v>
      </c>
      <c r="N139" s="6" t="s">
        <v>20</v>
      </c>
    </row>
    <row r="140" spans="1:14" ht="17" x14ac:dyDescent="0.35">
      <c r="A140" s="9">
        <v>99.891999999999996</v>
      </c>
      <c r="B140" s="11">
        <v>7.7244999999999999</v>
      </c>
      <c r="C140" s="6">
        <v>1.1323000000000001</v>
      </c>
      <c r="D140" s="6">
        <v>0.88314999999999999</v>
      </c>
      <c r="E140" s="6">
        <v>1.7762</v>
      </c>
      <c r="F140" s="6">
        <v>2.4584000000000001</v>
      </c>
      <c r="G140" s="6">
        <v>139.72</v>
      </c>
      <c r="H140" s="6">
        <v>23.928999999999998</v>
      </c>
      <c r="I140" s="6">
        <v>41.991999999999997</v>
      </c>
      <c r="J140" s="6">
        <v>183.25</v>
      </c>
      <c r="K140" s="6">
        <v>1.7554000000000001</v>
      </c>
      <c r="L140" s="6">
        <v>7.4173</v>
      </c>
      <c r="M140" s="6">
        <v>1.0701E-2</v>
      </c>
      <c r="N140" s="6" t="s">
        <v>20</v>
      </c>
    </row>
    <row r="141" spans="1:14" ht="17" x14ac:dyDescent="0.35">
      <c r="A141" s="9">
        <v>99.995999999999995</v>
      </c>
      <c r="B141" s="11">
        <v>7.7808000000000002</v>
      </c>
      <c r="C141" s="6">
        <v>1.1406000000000001</v>
      </c>
      <c r="D141" s="6">
        <v>0.87670000000000003</v>
      </c>
      <c r="E141" s="6">
        <v>1.7765</v>
      </c>
      <c r="F141" s="6">
        <v>2.4586000000000001</v>
      </c>
      <c r="G141" s="6">
        <v>139.66999999999999</v>
      </c>
      <c r="H141" s="6">
        <v>23.946000000000002</v>
      </c>
      <c r="I141" s="6">
        <v>42.091000000000001</v>
      </c>
      <c r="J141" s="6">
        <v>183.25</v>
      </c>
      <c r="K141" s="6">
        <v>1.7524</v>
      </c>
      <c r="L141" s="6">
        <v>7.4282000000000004</v>
      </c>
      <c r="M141" s="6">
        <v>1.0725E-2</v>
      </c>
      <c r="N141" s="6" t="s">
        <v>20</v>
      </c>
    </row>
    <row r="142" spans="1:14" ht="17" x14ac:dyDescent="0.35">
      <c r="A142" s="9">
        <v>100.1</v>
      </c>
      <c r="B142" s="11">
        <v>7.8371000000000004</v>
      </c>
      <c r="C142" s="6">
        <v>1.149</v>
      </c>
      <c r="D142" s="6">
        <v>0.87034999999999996</v>
      </c>
      <c r="E142" s="6">
        <v>1.7767999999999999</v>
      </c>
      <c r="F142" s="6">
        <v>2.4588999999999999</v>
      </c>
      <c r="G142" s="6">
        <v>139.63</v>
      </c>
      <c r="H142" s="6">
        <v>23.963000000000001</v>
      </c>
      <c r="I142" s="6">
        <v>42.19</v>
      </c>
      <c r="J142" s="6">
        <v>183.25</v>
      </c>
      <c r="K142" s="6">
        <v>1.7494000000000001</v>
      </c>
      <c r="L142" s="6">
        <v>7.4390000000000001</v>
      </c>
      <c r="M142" s="6">
        <v>1.0749E-2</v>
      </c>
      <c r="N142" s="6" t="s">
        <v>20</v>
      </c>
    </row>
    <row r="143" spans="1:14" ht="17" x14ac:dyDescent="0.35">
      <c r="A143" s="9">
        <v>100.2</v>
      </c>
      <c r="B143" s="11">
        <v>7.8933999999999997</v>
      </c>
      <c r="C143" s="6">
        <v>1.1573</v>
      </c>
      <c r="D143" s="6">
        <v>0.86407999999999996</v>
      </c>
      <c r="E143" s="6">
        <v>1.7769999999999999</v>
      </c>
      <c r="F143" s="6">
        <v>2.4590999999999998</v>
      </c>
      <c r="G143" s="6">
        <v>139.58000000000001</v>
      </c>
      <c r="H143" s="6">
        <v>23.98</v>
      </c>
      <c r="I143" s="6">
        <v>42.289000000000001</v>
      </c>
      <c r="J143" s="6">
        <v>183.24</v>
      </c>
      <c r="K143" s="6">
        <v>1.7464</v>
      </c>
      <c r="L143" s="6">
        <v>7.4497</v>
      </c>
      <c r="M143" s="6">
        <v>1.0773E-2</v>
      </c>
      <c r="N143" s="6" t="s">
        <v>20</v>
      </c>
    </row>
    <row r="144" spans="1:14" ht="17" x14ac:dyDescent="0.35">
      <c r="A144" s="9">
        <v>100.31</v>
      </c>
      <c r="B144" s="11">
        <v>7.9497</v>
      </c>
      <c r="C144" s="6">
        <v>1.1656</v>
      </c>
      <c r="D144" s="6">
        <v>0.85789000000000004</v>
      </c>
      <c r="E144" s="6">
        <v>1.7773000000000001</v>
      </c>
      <c r="F144" s="6">
        <v>2.4592999999999998</v>
      </c>
      <c r="G144" s="6">
        <v>139.53</v>
      </c>
      <c r="H144" s="6">
        <v>23.997</v>
      </c>
      <c r="I144" s="6">
        <v>42.389000000000003</v>
      </c>
      <c r="J144" s="6">
        <v>183.23</v>
      </c>
      <c r="K144" s="6">
        <v>1.7434000000000001</v>
      </c>
      <c r="L144" s="6">
        <v>7.4604999999999997</v>
      </c>
      <c r="M144" s="6">
        <v>1.0796E-2</v>
      </c>
      <c r="N144" s="6" t="s">
        <v>20</v>
      </c>
    </row>
    <row r="145" spans="1:14" ht="17" x14ac:dyDescent="0.35">
      <c r="A145" s="9">
        <v>100.41</v>
      </c>
      <c r="B145" s="11">
        <v>8.0060000000000002</v>
      </c>
      <c r="C145" s="6">
        <v>1.1739999999999999</v>
      </c>
      <c r="D145" s="6">
        <v>0.85179000000000005</v>
      </c>
      <c r="E145" s="6">
        <v>1.7775000000000001</v>
      </c>
      <c r="F145" s="6">
        <v>2.4594999999999998</v>
      </c>
      <c r="G145" s="6">
        <v>139.49</v>
      </c>
      <c r="H145" s="6">
        <v>24.013999999999999</v>
      </c>
      <c r="I145" s="6">
        <v>42.488999999999997</v>
      </c>
      <c r="J145" s="6">
        <v>183.23</v>
      </c>
      <c r="K145" s="6">
        <v>1.7403999999999999</v>
      </c>
      <c r="L145" s="6">
        <v>7.4711999999999996</v>
      </c>
      <c r="M145" s="6">
        <v>1.082E-2</v>
      </c>
      <c r="N145" s="6" t="s">
        <v>20</v>
      </c>
    </row>
    <row r="146" spans="1:14" ht="17" x14ac:dyDescent="0.35">
      <c r="A146" s="9">
        <v>100.51</v>
      </c>
      <c r="B146" s="11">
        <v>8.0623000000000005</v>
      </c>
      <c r="C146" s="6">
        <v>1.1823999999999999</v>
      </c>
      <c r="D146" s="6">
        <v>0.84575999999999996</v>
      </c>
      <c r="E146" s="6">
        <v>1.7778</v>
      </c>
      <c r="F146" s="6">
        <v>2.4596</v>
      </c>
      <c r="G146" s="6">
        <v>139.44</v>
      </c>
      <c r="H146" s="6">
        <v>24.030999999999999</v>
      </c>
      <c r="I146" s="6">
        <v>42.588999999999999</v>
      </c>
      <c r="J146" s="6">
        <v>183.22</v>
      </c>
      <c r="K146" s="6">
        <v>1.7375</v>
      </c>
      <c r="L146" s="6">
        <v>7.4819000000000004</v>
      </c>
      <c r="M146" s="6">
        <v>1.0843999999999999E-2</v>
      </c>
      <c r="N146" s="6" t="s">
        <v>20</v>
      </c>
    </row>
    <row r="147" spans="1:14" ht="17" x14ac:dyDescent="0.35">
      <c r="A147" s="9">
        <v>100.61</v>
      </c>
      <c r="B147" s="11">
        <v>8.1186000000000007</v>
      </c>
      <c r="C147" s="6">
        <v>1.1907000000000001</v>
      </c>
      <c r="D147" s="6">
        <v>0.83982000000000001</v>
      </c>
      <c r="E147" s="6">
        <v>1.778</v>
      </c>
      <c r="F147" s="6">
        <v>2.4598</v>
      </c>
      <c r="G147" s="6">
        <v>139.38999999999999</v>
      </c>
      <c r="H147" s="6">
        <v>24.047999999999998</v>
      </c>
      <c r="I147" s="6">
        <v>42.69</v>
      </c>
      <c r="J147" s="6">
        <v>183.21</v>
      </c>
      <c r="K147" s="6">
        <v>1.7345999999999999</v>
      </c>
      <c r="L147" s="6">
        <v>7.4924999999999997</v>
      </c>
      <c r="M147" s="6">
        <v>1.0867999999999999E-2</v>
      </c>
      <c r="N147" s="6" t="s">
        <v>20</v>
      </c>
    </row>
    <row r="148" spans="1:14" ht="17" x14ac:dyDescent="0.35">
      <c r="A148" s="9">
        <v>100.71</v>
      </c>
      <c r="B148" s="11">
        <v>8.1748999999999992</v>
      </c>
      <c r="C148" s="6">
        <v>1.1991000000000001</v>
      </c>
      <c r="D148" s="6">
        <v>0.83394999999999997</v>
      </c>
      <c r="E148" s="6">
        <v>1.7782</v>
      </c>
      <c r="F148" s="6">
        <v>2.46</v>
      </c>
      <c r="G148" s="6">
        <v>139.35</v>
      </c>
      <c r="H148" s="6">
        <v>24.065000000000001</v>
      </c>
      <c r="I148" s="6">
        <v>42.790999999999997</v>
      </c>
      <c r="J148" s="6">
        <v>183.21</v>
      </c>
      <c r="K148" s="6">
        <v>1.7317</v>
      </c>
      <c r="L148" s="6">
        <v>7.5031999999999996</v>
      </c>
      <c r="M148" s="6">
        <v>1.0892000000000001E-2</v>
      </c>
      <c r="N148" s="6" t="s">
        <v>20</v>
      </c>
    </row>
    <row r="149" spans="1:14" ht="17" x14ac:dyDescent="0.35">
      <c r="A149" s="9">
        <v>100.81</v>
      </c>
      <c r="B149" s="11">
        <v>8.2311999999999994</v>
      </c>
      <c r="C149" s="6">
        <v>1.2075</v>
      </c>
      <c r="D149" s="6">
        <v>0.82816000000000001</v>
      </c>
      <c r="E149" s="6">
        <v>1.7784</v>
      </c>
      <c r="F149" s="6">
        <v>2.4601000000000002</v>
      </c>
      <c r="G149" s="6">
        <v>139.30000000000001</v>
      </c>
      <c r="H149" s="6">
        <v>24.082000000000001</v>
      </c>
      <c r="I149" s="6">
        <v>42.892000000000003</v>
      </c>
      <c r="J149" s="6">
        <v>183.2</v>
      </c>
      <c r="K149" s="6">
        <v>1.7287999999999999</v>
      </c>
      <c r="L149" s="6">
        <v>7.5137999999999998</v>
      </c>
      <c r="M149" s="6">
        <v>1.0916E-2</v>
      </c>
      <c r="N149" s="6" t="s">
        <v>20</v>
      </c>
    </row>
    <row r="150" spans="1:14" ht="17" x14ac:dyDescent="0.35">
      <c r="A150" s="9">
        <v>100.91</v>
      </c>
      <c r="B150" s="11">
        <v>8.2873999999999999</v>
      </c>
      <c r="C150" s="6">
        <v>1.2159</v>
      </c>
      <c r="D150" s="6">
        <v>0.82243999999999995</v>
      </c>
      <c r="E150" s="6">
        <v>1.7786</v>
      </c>
      <c r="F150" s="6">
        <v>2.4601999999999999</v>
      </c>
      <c r="G150" s="6">
        <v>139.26</v>
      </c>
      <c r="H150" s="6">
        <v>24.097999999999999</v>
      </c>
      <c r="I150" s="6">
        <v>42.994</v>
      </c>
      <c r="J150" s="6">
        <v>183.19</v>
      </c>
      <c r="K150" s="6">
        <v>1.726</v>
      </c>
      <c r="L150" s="6">
        <v>7.5243000000000002</v>
      </c>
      <c r="M150" s="6">
        <v>1.0939000000000001E-2</v>
      </c>
      <c r="N150" s="6" t="s">
        <v>20</v>
      </c>
    </row>
    <row r="151" spans="1:14" ht="17" x14ac:dyDescent="0.35">
      <c r="A151" s="9">
        <v>101.01</v>
      </c>
      <c r="B151" s="11">
        <v>8.3437000000000001</v>
      </c>
      <c r="C151" s="6">
        <v>1.2242999999999999</v>
      </c>
      <c r="D151" s="6">
        <v>0.81679999999999997</v>
      </c>
      <c r="E151" s="6">
        <v>1.7787999999999999</v>
      </c>
      <c r="F151" s="6">
        <v>2.4603000000000002</v>
      </c>
      <c r="G151" s="6">
        <v>139.21</v>
      </c>
      <c r="H151" s="6">
        <v>24.114999999999998</v>
      </c>
      <c r="I151" s="6">
        <v>43.095999999999997</v>
      </c>
      <c r="J151" s="6">
        <v>183.18</v>
      </c>
      <c r="K151" s="6">
        <v>1.7232000000000001</v>
      </c>
      <c r="L151" s="6">
        <v>7.5349000000000004</v>
      </c>
      <c r="M151" s="6">
        <v>1.0963000000000001E-2</v>
      </c>
      <c r="N151" s="6" t="s">
        <v>20</v>
      </c>
    </row>
    <row r="152" spans="1:14" ht="17" x14ac:dyDescent="0.35">
      <c r="A152" s="9">
        <v>101.11</v>
      </c>
      <c r="B152" s="11">
        <v>8.4</v>
      </c>
      <c r="C152" s="6">
        <v>1.2326999999999999</v>
      </c>
      <c r="D152" s="6">
        <v>0.81123000000000001</v>
      </c>
      <c r="E152" s="6">
        <v>1.7789999999999999</v>
      </c>
      <c r="F152" s="6">
        <v>2.4603999999999999</v>
      </c>
      <c r="G152" s="6">
        <v>139.16999999999999</v>
      </c>
      <c r="H152" s="6">
        <v>24.132000000000001</v>
      </c>
      <c r="I152" s="6">
        <v>43.198</v>
      </c>
      <c r="J152" s="6">
        <v>183.17</v>
      </c>
      <c r="K152" s="6">
        <v>1.7202999999999999</v>
      </c>
      <c r="L152" s="6">
        <v>7.5453999999999999</v>
      </c>
      <c r="M152" s="6">
        <v>1.0987E-2</v>
      </c>
      <c r="N152" s="6" t="s">
        <v>20</v>
      </c>
    </row>
    <row r="153" spans="1:14" ht="17" x14ac:dyDescent="0.35">
      <c r="A153" s="9">
        <v>101.21</v>
      </c>
      <c r="B153" s="11">
        <v>8.4563000000000006</v>
      </c>
      <c r="C153" s="6">
        <v>1.2411000000000001</v>
      </c>
      <c r="D153" s="6">
        <v>0.80572999999999995</v>
      </c>
      <c r="E153" s="6">
        <v>1.7790999999999999</v>
      </c>
      <c r="F153" s="6">
        <v>2.4605000000000001</v>
      </c>
      <c r="G153" s="6">
        <v>139.13</v>
      </c>
      <c r="H153" s="6">
        <v>24.149000000000001</v>
      </c>
      <c r="I153" s="6">
        <v>43.301000000000002</v>
      </c>
      <c r="J153" s="6">
        <v>183.16</v>
      </c>
      <c r="K153" s="6">
        <v>1.7175</v>
      </c>
      <c r="L153" s="6">
        <v>7.5559000000000003</v>
      </c>
      <c r="M153" s="6">
        <v>1.1011E-2</v>
      </c>
      <c r="N153" s="6" t="s">
        <v>20</v>
      </c>
    </row>
    <row r="154" spans="1:14" ht="17" x14ac:dyDescent="0.35">
      <c r="A154" s="9">
        <v>101.31</v>
      </c>
      <c r="B154" s="11">
        <v>8.5126000000000008</v>
      </c>
      <c r="C154" s="6">
        <v>1.2495000000000001</v>
      </c>
      <c r="D154" s="6">
        <v>0.80028999999999995</v>
      </c>
      <c r="E154" s="6">
        <v>1.7793000000000001</v>
      </c>
      <c r="F154" s="6">
        <v>2.4605000000000001</v>
      </c>
      <c r="G154" s="6">
        <v>139.08000000000001</v>
      </c>
      <c r="H154" s="6">
        <v>24.166</v>
      </c>
      <c r="I154" s="6">
        <v>43.404000000000003</v>
      </c>
      <c r="J154" s="6">
        <v>183.16</v>
      </c>
      <c r="K154" s="6">
        <v>1.7148000000000001</v>
      </c>
      <c r="L154" s="6">
        <v>7.5663999999999998</v>
      </c>
      <c r="M154" s="6">
        <v>1.1035E-2</v>
      </c>
      <c r="N154" s="6" t="s">
        <v>20</v>
      </c>
    </row>
    <row r="155" spans="1:14" ht="17" x14ac:dyDescent="0.35">
      <c r="A155" s="9">
        <v>101.41</v>
      </c>
      <c r="B155" s="11">
        <v>8.5688999999999993</v>
      </c>
      <c r="C155" s="6">
        <v>1.258</v>
      </c>
      <c r="D155" s="6">
        <v>0.79493000000000003</v>
      </c>
      <c r="E155" s="6">
        <v>1.7794000000000001</v>
      </c>
      <c r="F155" s="6">
        <v>2.4605999999999999</v>
      </c>
      <c r="G155" s="6">
        <v>139.04</v>
      </c>
      <c r="H155" s="6">
        <v>24.183</v>
      </c>
      <c r="I155" s="6">
        <v>43.508000000000003</v>
      </c>
      <c r="J155" s="6">
        <v>183.15</v>
      </c>
      <c r="K155" s="6">
        <v>1.712</v>
      </c>
      <c r="L155" s="6">
        <v>7.5768000000000004</v>
      </c>
      <c r="M155" s="6">
        <v>1.1058999999999999E-2</v>
      </c>
      <c r="N155" s="6" t="s">
        <v>20</v>
      </c>
    </row>
    <row r="156" spans="1:14" ht="17" x14ac:dyDescent="0.35">
      <c r="A156" s="9">
        <v>101.5</v>
      </c>
      <c r="B156" s="11">
        <v>8.6251999999999995</v>
      </c>
      <c r="C156" s="6">
        <v>1.2664</v>
      </c>
      <c r="D156" s="6">
        <v>0.78963000000000005</v>
      </c>
      <c r="E156" s="6">
        <v>1.7796000000000001</v>
      </c>
      <c r="F156" s="6">
        <v>2.4605999999999999</v>
      </c>
      <c r="G156" s="6">
        <v>138.99</v>
      </c>
      <c r="H156" s="6">
        <v>24.2</v>
      </c>
      <c r="I156" s="6">
        <v>43.610999999999997</v>
      </c>
      <c r="J156" s="6">
        <v>183.13</v>
      </c>
      <c r="K156" s="6">
        <v>1.7093</v>
      </c>
      <c r="L156" s="6">
        <v>7.5872000000000002</v>
      </c>
      <c r="M156" s="6">
        <v>1.1083000000000001E-2</v>
      </c>
      <c r="N156" s="6" t="s">
        <v>20</v>
      </c>
    </row>
    <row r="157" spans="1:14" ht="17" x14ac:dyDescent="0.35">
      <c r="A157" s="9">
        <v>101.6</v>
      </c>
      <c r="B157" s="11">
        <v>8.6814999999999998</v>
      </c>
      <c r="C157" s="6">
        <v>1.2748999999999999</v>
      </c>
      <c r="D157" s="6">
        <v>0.78439999999999999</v>
      </c>
      <c r="E157" s="6">
        <v>1.7797000000000001</v>
      </c>
      <c r="F157" s="6">
        <v>2.4605999999999999</v>
      </c>
      <c r="G157" s="6">
        <v>138.94999999999999</v>
      </c>
      <c r="H157" s="6">
        <v>24.216999999999999</v>
      </c>
      <c r="I157" s="6">
        <v>43.716000000000001</v>
      </c>
      <c r="J157" s="6">
        <v>183.12</v>
      </c>
      <c r="K157" s="6">
        <v>1.7064999999999999</v>
      </c>
      <c r="L157" s="6">
        <v>7.5975999999999999</v>
      </c>
      <c r="M157" s="6">
        <v>1.1107000000000001E-2</v>
      </c>
      <c r="N157" s="6" t="s">
        <v>20</v>
      </c>
    </row>
    <row r="158" spans="1:14" ht="17" x14ac:dyDescent="0.35">
      <c r="A158" s="9">
        <v>101.7</v>
      </c>
      <c r="B158" s="11">
        <v>8.7378</v>
      </c>
      <c r="C158" s="6">
        <v>1.2833000000000001</v>
      </c>
      <c r="D158" s="6">
        <v>0.77922000000000002</v>
      </c>
      <c r="E158" s="6">
        <v>1.7798</v>
      </c>
      <c r="F158" s="6">
        <v>2.4607000000000001</v>
      </c>
      <c r="G158" s="6">
        <v>138.91</v>
      </c>
      <c r="H158" s="6">
        <v>24.234000000000002</v>
      </c>
      <c r="I158" s="6">
        <v>43.82</v>
      </c>
      <c r="J158" s="6">
        <v>183.11</v>
      </c>
      <c r="K158" s="6">
        <v>1.7038</v>
      </c>
      <c r="L158" s="6">
        <v>7.6079999999999997</v>
      </c>
      <c r="M158" s="6">
        <v>1.1131E-2</v>
      </c>
      <c r="N158" s="6" t="s">
        <v>20</v>
      </c>
    </row>
    <row r="159" spans="1:14" ht="17" x14ac:dyDescent="0.35">
      <c r="A159" s="9">
        <v>101.79</v>
      </c>
      <c r="B159" s="11">
        <v>8.7941000000000003</v>
      </c>
      <c r="C159" s="6">
        <v>1.2918000000000001</v>
      </c>
      <c r="D159" s="6">
        <v>0.77412000000000003</v>
      </c>
      <c r="E159" s="6">
        <v>1.7799</v>
      </c>
      <c r="F159" s="6">
        <v>2.4607000000000001</v>
      </c>
      <c r="G159" s="6">
        <v>138.87</v>
      </c>
      <c r="H159" s="6">
        <v>24.251000000000001</v>
      </c>
      <c r="I159" s="6">
        <v>43.924999999999997</v>
      </c>
      <c r="J159" s="6">
        <v>183.1</v>
      </c>
      <c r="K159" s="6">
        <v>1.7011000000000001</v>
      </c>
      <c r="L159" s="6">
        <v>7.6182999999999996</v>
      </c>
      <c r="M159" s="6">
        <v>1.1154000000000001E-2</v>
      </c>
      <c r="N159" s="6" t="s">
        <v>20</v>
      </c>
    </row>
    <row r="160" spans="1:14" ht="17" x14ac:dyDescent="0.35">
      <c r="A160" s="9">
        <v>101.89</v>
      </c>
      <c r="B160" s="11">
        <v>8.8504000000000005</v>
      </c>
      <c r="C160" s="6">
        <v>1.3003</v>
      </c>
      <c r="D160" s="6">
        <v>0.76907000000000003</v>
      </c>
      <c r="E160" s="6">
        <v>1.78</v>
      </c>
      <c r="F160" s="6">
        <v>2.4605999999999999</v>
      </c>
      <c r="G160" s="6">
        <v>138.82</v>
      </c>
      <c r="H160" s="6">
        <v>24.268000000000001</v>
      </c>
      <c r="I160" s="6">
        <v>44.030999999999999</v>
      </c>
      <c r="J160" s="6">
        <v>183.09</v>
      </c>
      <c r="K160" s="6">
        <v>1.6984999999999999</v>
      </c>
      <c r="L160" s="6">
        <v>7.6287000000000003</v>
      </c>
      <c r="M160" s="6">
        <v>1.1178E-2</v>
      </c>
      <c r="N160" s="6" t="s">
        <v>20</v>
      </c>
    </row>
    <row r="161" spans="1:14" ht="17" x14ac:dyDescent="0.35">
      <c r="A161" s="9">
        <v>101.98</v>
      </c>
      <c r="B161" s="11">
        <v>8.9065999999999992</v>
      </c>
      <c r="C161" s="6">
        <v>1.3088</v>
      </c>
      <c r="D161" s="6">
        <v>0.76407999999999998</v>
      </c>
      <c r="E161" s="6">
        <v>1.7801</v>
      </c>
      <c r="F161" s="6">
        <v>2.4605999999999999</v>
      </c>
      <c r="G161" s="6">
        <v>138.78</v>
      </c>
      <c r="H161" s="6">
        <v>24.285</v>
      </c>
      <c r="I161" s="6">
        <v>44.136000000000003</v>
      </c>
      <c r="J161" s="6">
        <v>183.08</v>
      </c>
      <c r="K161" s="6">
        <v>1.6958</v>
      </c>
      <c r="L161" s="6">
        <v>7.6390000000000002</v>
      </c>
      <c r="M161" s="6">
        <v>1.1202E-2</v>
      </c>
      <c r="N161" s="6" t="s">
        <v>20</v>
      </c>
    </row>
    <row r="162" spans="1:14" ht="17" x14ac:dyDescent="0.35">
      <c r="A162" s="9">
        <v>102.08</v>
      </c>
      <c r="B162" s="11">
        <v>8.9628999999999994</v>
      </c>
      <c r="C162" s="6">
        <v>1.3172999999999999</v>
      </c>
      <c r="D162" s="6">
        <v>0.75915999999999995</v>
      </c>
      <c r="E162" s="6">
        <v>1.7801</v>
      </c>
      <c r="F162" s="6">
        <v>2.4605999999999999</v>
      </c>
      <c r="G162" s="6">
        <v>138.74</v>
      </c>
      <c r="H162" s="6">
        <v>24.302</v>
      </c>
      <c r="I162" s="6">
        <v>44.241999999999997</v>
      </c>
      <c r="J162" s="6">
        <v>183.07</v>
      </c>
      <c r="K162" s="6">
        <v>1.6932</v>
      </c>
      <c r="L162" s="6">
        <v>7.6492000000000004</v>
      </c>
      <c r="M162" s="6">
        <v>1.1226E-2</v>
      </c>
      <c r="N162" s="6" t="s">
        <v>20</v>
      </c>
    </row>
    <row r="163" spans="1:14" ht="17" x14ac:dyDescent="0.35">
      <c r="A163" s="9">
        <v>102.17</v>
      </c>
      <c r="B163" s="11">
        <v>9.0191999999999997</v>
      </c>
      <c r="C163" s="6">
        <v>1.3258000000000001</v>
      </c>
      <c r="D163" s="6">
        <v>0.75429000000000002</v>
      </c>
      <c r="E163" s="6">
        <v>1.7802</v>
      </c>
      <c r="F163" s="6">
        <v>2.4605000000000001</v>
      </c>
      <c r="G163" s="6">
        <v>138.69999999999999</v>
      </c>
      <c r="H163" s="6">
        <v>24.318999999999999</v>
      </c>
      <c r="I163" s="6">
        <v>44.348999999999997</v>
      </c>
      <c r="J163" s="6">
        <v>183.05</v>
      </c>
      <c r="K163" s="6">
        <v>1.6904999999999999</v>
      </c>
      <c r="L163" s="6">
        <v>7.6595000000000004</v>
      </c>
      <c r="M163" s="6">
        <v>1.125E-2</v>
      </c>
      <c r="N163" s="6" t="s">
        <v>20</v>
      </c>
    </row>
    <row r="164" spans="1:14" ht="17" x14ac:dyDescent="0.35">
      <c r="A164" s="9">
        <v>102.27</v>
      </c>
      <c r="B164" s="11">
        <v>9.0754999999999999</v>
      </c>
      <c r="C164" s="6">
        <v>1.3343</v>
      </c>
      <c r="D164" s="6">
        <v>0.74946999999999997</v>
      </c>
      <c r="E164" s="6">
        <v>1.7803</v>
      </c>
      <c r="F164" s="6">
        <v>2.4605000000000001</v>
      </c>
      <c r="G164" s="6">
        <v>138.65</v>
      </c>
      <c r="H164" s="6">
        <v>24.335999999999999</v>
      </c>
      <c r="I164" s="6">
        <v>44.456000000000003</v>
      </c>
      <c r="J164" s="6">
        <v>183.04</v>
      </c>
      <c r="K164" s="6">
        <v>1.6879</v>
      </c>
      <c r="L164" s="6">
        <v>7.6696999999999997</v>
      </c>
      <c r="M164" s="6">
        <v>1.1273999999999999E-2</v>
      </c>
      <c r="N164" s="6" t="s">
        <v>20</v>
      </c>
    </row>
    <row r="165" spans="1:14" ht="17" x14ac:dyDescent="0.35">
      <c r="A165" s="9">
        <v>102.36</v>
      </c>
      <c r="B165" s="11">
        <v>9.1318000000000001</v>
      </c>
      <c r="C165" s="6">
        <v>1.3428</v>
      </c>
      <c r="D165" s="6">
        <v>0.74472000000000005</v>
      </c>
      <c r="E165" s="6">
        <v>1.7803</v>
      </c>
      <c r="F165" s="6">
        <v>2.4603999999999999</v>
      </c>
      <c r="G165" s="6">
        <v>138.61000000000001</v>
      </c>
      <c r="H165" s="6">
        <v>24.352</v>
      </c>
      <c r="I165" s="6">
        <v>44.563000000000002</v>
      </c>
      <c r="J165" s="6">
        <v>183.03</v>
      </c>
      <c r="K165" s="6">
        <v>1.6853</v>
      </c>
      <c r="L165" s="6">
        <v>7.6798999999999999</v>
      </c>
      <c r="M165" s="6">
        <v>1.1298000000000001E-2</v>
      </c>
      <c r="N165" s="6" t="s">
        <v>20</v>
      </c>
    </row>
    <row r="166" spans="1:14" ht="17" x14ac:dyDescent="0.35">
      <c r="A166" s="9">
        <v>102.45</v>
      </c>
      <c r="B166" s="11">
        <v>9.1881000000000004</v>
      </c>
      <c r="C166" s="6">
        <v>1.3512999999999999</v>
      </c>
      <c r="D166" s="6">
        <v>0.74002000000000001</v>
      </c>
      <c r="E166" s="6">
        <v>1.7804</v>
      </c>
      <c r="F166" s="6">
        <v>2.4603000000000002</v>
      </c>
      <c r="G166" s="6">
        <v>138.57</v>
      </c>
      <c r="H166" s="6">
        <v>24.369</v>
      </c>
      <c r="I166" s="6">
        <v>44.670999999999999</v>
      </c>
      <c r="J166" s="6">
        <v>183.02</v>
      </c>
      <c r="K166" s="6">
        <v>1.6828000000000001</v>
      </c>
      <c r="L166" s="6">
        <v>7.6901000000000002</v>
      </c>
      <c r="M166" s="6">
        <v>1.1322E-2</v>
      </c>
      <c r="N166" s="6" t="s">
        <v>20</v>
      </c>
    </row>
    <row r="167" spans="1:14" ht="17" x14ac:dyDescent="0.35">
      <c r="A167" s="9">
        <v>102.54</v>
      </c>
      <c r="B167" s="11">
        <v>9.2444000000000006</v>
      </c>
      <c r="C167" s="6">
        <v>1.3599000000000001</v>
      </c>
      <c r="D167" s="6">
        <v>0.73536999999999997</v>
      </c>
      <c r="E167" s="6">
        <v>1.7804</v>
      </c>
      <c r="F167" s="6">
        <v>2.4601999999999999</v>
      </c>
      <c r="G167" s="6">
        <v>138.53</v>
      </c>
      <c r="H167" s="6">
        <v>24.385999999999999</v>
      </c>
      <c r="I167" s="6">
        <v>44.779000000000003</v>
      </c>
      <c r="J167" s="6">
        <v>183</v>
      </c>
      <c r="K167" s="6">
        <v>1.6801999999999999</v>
      </c>
      <c r="L167" s="6">
        <v>7.7003000000000004</v>
      </c>
      <c r="M167" s="6">
        <v>1.1346E-2</v>
      </c>
      <c r="N167" s="6" t="s">
        <v>20</v>
      </c>
    </row>
    <row r="168" spans="1:14" ht="17" x14ac:dyDescent="0.35">
      <c r="A168" s="9">
        <v>102.64</v>
      </c>
      <c r="B168" s="11">
        <v>9.3007000000000009</v>
      </c>
      <c r="C168" s="6">
        <v>1.3684000000000001</v>
      </c>
      <c r="D168" s="6">
        <v>0.73077999999999999</v>
      </c>
      <c r="E168" s="6">
        <v>1.7804</v>
      </c>
      <c r="F168" s="6">
        <v>2.4601000000000002</v>
      </c>
      <c r="G168" s="6">
        <v>138.49</v>
      </c>
      <c r="H168" s="6">
        <v>24.402999999999999</v>
      </c>
      <c r="I168" s="6">
        <v>44.887999999999998</v>
      </c>
      <c r="J168" s="6">
        <v>182.99</v>
      </c>
      <c r="K168" s="6">
        <v>1.6776</v>
      </c>
      <c r="L168" s="6">
        <v>7.7104999999999997</v>
      </c>
      <c r="M168" s="6">
        <v>1.137E-2</v>
      </c>
      <c r="N168" s="6" t="s">
        <v>20</v>
      </c>
    </row>
    <row r="169" spans="1:14" ht="17" x14ac:dyDescent="0.35">
      <c r="A169" s="9">
        <v>102.73</v>
      </c>
      <c r="B169" s="11">
        <v>9.3569999999999993</v>
      </c>
      <c r="C169" s="6">
        <v>1.377</v>
      </c>
      <c r="D169" s="6">
        <v>0.72623000000000004</v>
      </c>
      <c r="E169" s="6">
        <v>1.7804</v>
      </c>
      <c r="F169" s="6">
        <v>2.46</v>
      </c>
      <c r="G169" s="6">
        <v>138.44999999999999</v>
      </c>
      <c r="H169" s="6">
        <v>24.42</v>
      </c>
      <c r="I169" s="6">
        <v>44.997</v>
      </c>
      <c r="J169" s="6">
        <v>182.97</v>
      </c>
      <c r="K169" s="6">
        <v>1.6751</v>
      </c>
      <c r="L169" s="6">
        <v>7.7206000000000001</v>
      </c>
      <c r="M169" s="6">
        <v>1.1395000000000001E-2</v>
      </c>
      <c r="N169" s="6" t="s">
        <v>20</v>
      </c>
    </row>
    <row r="170" spans="1:14" ht="17" x14ac:dyDescent="0.35">
      <c r="A170" s="9">
        <v>102.82</v>
      </c>
      <c r="B170" s="11">
        <v>9.4132999999999996</v>
      </c>
      <c r="C170" s="6">
        <v>1.3855</v>
      </c>
      <c r="D170" s="6">
        <v>0.72174000000000005</v>
      </c>
      <c r="E170" s="6">
        <v>1.7804</v>
      </c>
      <c r="F170" s="6">
        <v>2.4598</v>
      </c>
      <c r="G170" s="6">
        <v>138.4</v>
      </c>
      <c r="H170" s="6">
        <v>24.437000000000001</v>
      </c>
      <c r="I170" s="6">
        <v>45.106000000000002</v>
      </c>
      <c r="J170" s="6">
        <v>182.96</v>
      </c>
      <c r="K170" s="6">
        <v>1.6726000000000001</v>
      </c>
      <c r="L170" s="6">
        <v>7.7306999999999997</v>
      </c>
      <c r="M170" s="6">
        <v>1.1419E-2</v>
      </c>
      <c r="N170" s="6" t="s">
        <v>20</v>
      </c>
    </row>
    <row r="171" spans="1:14" ht="17" x14ac:dyDescent="0.35">
      <c r="A171" s="9">
        <v>102.91</v>
      </c>
      <c r="B171" s="11">
        <v>9.4695999999999998</v>
      </c>
      <c r="C171" s="6">
        <v>1.3940999999999999</v>
      </c>
      <c r="D171" s="6">
        <v>0.71730000000000005</v>
      </c>
      <c r="E171" s="6">
        <v>1.7804</v>
      </c>
      <c r="F171" s="6">
        <v>2.4597000000000002</v>
      </c>
      <c r="G171" s="6">
        <v>138.36000000000001</v>
      </c>
      <c r="H171" s="6">
        <v>24.454000000000001</v>
      </c>
      <c r="I171" s="6">
        <v>45.216000000000001</v>
      </c>
      <c r="J171" s="6">
        <v>182.94</v>
      </c>
      <c r="K171" s="6">
        <v>1.6700999999999999</v>
      </c>
      <c r="L171" s="6">
        <v>7.7408000000000001</v>
      </c>
      <c r="M171" s="6">
        <v>1.1443E-2</v>
      </c>
      <c r="N171" s="6" t="s">
        <v>20</v>
      </c>
    </row>
    <row r="172" spans="1:14" ht="17" x14ac:dyDescent="0.35">
      <c r="A172" s="9">
        <v>103</v>
      </c>
      <c r="B172" s="11">
        <v>9.5259</v>
      </c>
      <c r="C172" s="6">
        <v>1.4027000000000001</v>
      </c>
      <c r="D172" s="6">
        <v>0.71291000000000004</v>
      </c>
      <c r="E172" s="6">
        <v>1.7804</v>
      </c>
      <c r="F172" s="6">
        <v>2.4594999999999998</v>
      </c>
      <c r="G172" s="6">
        <v>138.32</v>
      </c>
      <c r="H172" s="6">
        <v>24.471</v>
      </c>
      <c r="I172" s="6">
        <v>45.326000000000001</v>
      </c>
      <c r="J172" s="6">
        <v>182.93</v>
      </c>
      <c r="K172" s="6">
        <v>1.6676</v>
      </c>
      <c r="L172" s="6">
        <v>7.7508999999999997</v>
      </c>
      <c r="M172" s="6">
        <v>1.1467E-2</v>
      </c>
      <c r="N172" s="6" t="s">
        <v>20</v>
      </c>
    </row>
    <row r="173" spans="1:14" ht="17" x14ac:dyDescent="0.35">
      <c r="A173" s="9">
        <v>103.09</v>
      </c>
      <c r="B173" s="11">
        <v>9.5821000000000005</v>
      </c>
      <c r="C173" s="6">
        <v>1.4113</v>
      </c>
      <c r="D173" s="6">
        <v>0.70857000000000003</v>
      </c>
      <c r="E173" s="6">
        <v>1.7804</v>
      </c>
      <c r="F173" s="6">
        <v>2.4592999999999998</v>
      </c>
      <c r="G173" s="6">
        <v>138.28</v>
      </c>
      <c r="H173" s="6">
        <v>24.486999999999998</v>
      </c>
      <c r="I173" s="6">
        <v>45.436999999999998</v>
      </c>
      <c r="J173" s="6">
        <v>182.91</v>
      </c>
      <c r="K173" s="6">
        <v>1.6651</v>
      </c>
      <c r="L173" s="6">
        <v>7.7609000000000004</v>
      </c>
      <c r="M173" s="6">
        <v>1.1490999999999999E-2</v>
      </c>
      <c r="N173" s="6" t="s">
        <v>20</v>
      </c>
    </row>
    <row r="174" spans="1:14" ht="17" x14ac:dyDescent="0.35">
      <c r="A174" s="9">
        <v>103.18</v>
      </c>
      <c r="B174" s="11">
        <v>9.6384000000000007</v>
      </c>
      <c r="C174" s="6">
        <v>1.4198999999999999</v>
      </c>
      <c r="D174" s="6">
        <v>0.70428000000000002</v>
      </c>
      <c r="E174" s="6">
        <v>1.7804</v>
      </c>
      <c r="F174" s="6">
        <v>2.4592000000000001</v>
      </c>
      <c r="G174" s="6">
        <v>138.24</v>
      </c>
      <c r="H174" s="6">
        <v>24.504000000000001</v>
      </c>
      <c r="I174" s="6">
        <v>45.548000000000002</v>
      </c>
      <c r="J174" s="6">
        <v>182.9</v>
      </c>
      <c r="K174" s="6">
        <v>1.6626000000000001</v>
      </c>
      <c r="L174" s="6">
        <v>7.7709999999999999</v>
      </c>
      <c r="M174" s="6">
        <v>1.1514999999999999E-2</v>
      </c>
      <c r="N174" s="6" t="s">
        <v>20</v>
      </c>
    </row>
    <row r="175" spans="1:14" ht="17" x14ac:dyDescent="0.35">
      <c r="A175" s="9">
        <v>103.27</v>
      </c>
      <c r="B175" s="11">
        <v>9.6946999999999992</v>
      </c>
      <c r="C175" s="6">
        <v>1.4285000000000001</v>
      </c>
      <c r="D175" s="6">
        <v>0.70003000000000004</v>
      </c>
      <c r="E175" s="6">
        <v>1.7803</v>
      </c>
      <c r="F175" s="6">
        <v>2.4590000000000001</v>
      </c>
      <c r="G175" s="6">
        <v>138.19999999999999</v>
      </c>
      <c r="H175" s="6">
        <v>24.521000000000001</v>
      </c>
      <c r="I175" s="6">
        <v>45.658999999999999</v>
      </c>
      <c r="J175" s="6">
        <v>182.88</v>
      </c>
      <c r="K175" s="6">
        <v>1.6601999999999999</v>
      </c>
      <c r="L175" s="6">
        <v>7.7809999999999997</v>
      </c>
      <c r="M175" s="6">
        <v>1.154E-2</v>
      </c>
      <c r="N175" s="6" t="s">
        <v>20</v>
      </c>
    </row>
    <row r="176" spans="1:14" ht="17" x14ac:dyDescent="0.35">
      <c r="A176" s="9">
        <v>103.36</v>
      </c>
      <c r="B176" s="11">
        <v>9.7509999999999994</v>
      </c>
      <c r="C176" s="6">
        <v>1.4371</v>
      </c>
      <c r="D176" s="6">
        <v>0.69582999999999995</v>
      </c>
      <c r="E176" s="6">
        <v>1.7803</v>
      </c>
      <c r="F176" s="6">
        <v>2.4588000000000001</v>
      </c>
      <c r="G176" s="6">
        <v>138.16</v>
      </c>
      <c r="H176" s="6">
        <v>24.538</v>
      </c>
      <c r="I176" s="6">
        <v>45.771000000000001</v>
      </c>
      <c r="J176" s="6">
        <v>182.87</v>
      </c>
      <c r="K176" s="6">
        <v>1.6577</v>
      </c>
      <c r="L176" s="6">
        <v>7.7910000000000004</v>
      </c>
      <c r="M176" s="6">
        <v>1.1564E-2</v>
      </c>
      <c r="N176" s="6" t="s">
        <v>20</v>
      </c>
    </row>
    <row r="177" spans="1:14" ht="17" x14ac:dyDescent="0.35">
      <c r="A177" s="9">
        <v>103.45</v>
      </c>
      <c r="B177" s="11">
        <v>9.8072999999999997</v>
      </c>
      <c r="C177" s="6">
        <v>1.4458</v>
      </c>
      <c r="D177" s="6">
        <v>0.69167000000000001</v>
      </c>
      <c r="E177" s="6">
        <v>1.7802</v>
      </c>
      <c r="F177" s="6">
        <v>2.4586000000000001</v>
      </c>
      <c r="G177" s="6">
        <v>138.12</v>
      </c>
      <c r="H177" s="6">
        <v>24.555</v>
      </c>
      <c r="I177" s="6">
        <v>45.884</v>
      </c>
      <c r="J177" s="6">
        <v>182.85</v>
      </c>
      <c r="K177" s="6">
        <v>1.6553</v>
      </c>
      <c r="L177" s="6">
        <v>7.8010000000000002</v>
      </c>
      <c r="M177" s="6">
        <v>1.1587999999999999E-2</v>
      </c>
      <c r="N177" s="6" t="s">
        <v>20</v>
      </c>
    </row>
    <row r="178" spans="1:14" ht="17" x14ac:dyDescent="0.35">
      <c r="A178" s="9">
        <v>103.53</v>
      </c>
      <c r="B178" s="11">
        <v>9.8635999999999999</v>
      </c>
      <c r="C178" s="6">
        <v>1.4543999999999999</v>
      </c>
      <c r="D178" s="6">
        <v>0.68755999999999995</v>
      </c>
      <c r="E178" s="6">
        <v>1.7801</v>
      </c>
      <c r="F178" s="6">
        <v>2.4582999999999999</v>
      </c>
      <c r="G178" s="6">
        <v>138.08000000000001</v>
      </c>
      <c r="H178" s="6">
        <v>24.571999999999999</v>
      </c>
      <c r="I178" s="6">
        <v>45.996000000000002</v>
      </c>
      <c r="J178" s="6">
        <v>182.83</v>
      </c>
      <c r="K178" s="6">
        <v>1.6529</v>
      </c>
      <c r="L178" s="6">
        <v>7.8109999999999999</v>
      </c>
      <c r="M178" s="6">
        <v>1.1612000000000001E-2</v>
      </c>
      <c r="N178" s="6" t="s">
        <v>20</v>
      </c>
    </row>
    <row r="179" spans="1:14" ht="17" x14ac:dyDescent="0.35">
      <c r="A179" s="9">
        <v>103.62</v>
      </c>
      <c r="B179" s="11">
        <v>9.9199000000000002</v>
      </c>
      <c r="C179" s="6">
        <v>1.4631000000000001</v>
      </c>
      <c r="D179" s="6">
        <v>0.6835</v>
      </c>
      <c r="E179" s="6">
        <v>1.7801</v>
      </c>
      <c r="F179" s="6">
        <v>2.4581</v>
      </c>
      <c r="G179" s="6">
        <v>138.04</v>
      </c>
      <c r="H179" s="6">
        <v>24.588000000000001</v>
      </c>
      <c r="I179" s="6">
        <v>46.11</v>
      </c>
      <c r="J179" s="6">
        <v>182.82</v>
      </c>
      <c r="K179" s="6">
        <v>1.6505000000000001</v>
      </c>
      <c r="L179" s="6">
        <v>7.8209</v>
      </c>
      <c r="M179" s="6">
        <v>1.1637E-2</v>
      </c>
      <c r="N179" s="6" t="s">
        <v>20</v>
      </c>
    </row>
    <row r="180" spans="1:14" ht="17" x14ac:dyDescent="0.35">
      <c r="A180" s="9">
        <v>103.71</v>
      </c>
      <c r="B180" s="11">
        <v>9.9762000000000004</v>
      </c>
      <c r="C180" s="6">
        <v>1.4717</v>
      </c>
      <c r="D180" s="6">
        <v>0.67947000000000002</v>
      </c>
      <c r="E180" s="6">
        <v>1.78</v>
      </c>
      <c r="F180" s="6">
        <v>2.4578000000000002</v>
      </c>
      <c r="G180" s="6">
        <v>138</v>
      </c>
      <c r="H180" s="6">
        <v>24.605</v>
      </c>
      <c r="I180" s="6">
        <v>46.222999999999999</v>
      </c>
      <c r="J180" s="6">
        <v>182.8</v>
      </c>
      <c r="K180" s="6">
        <v>1.6480999999999999</v>
      </c>
      <c r="L180" s="6">
        <v>7.8308999999999997</v>
      </c>
      <c r="M180" s="6">
        <v>1.1660999999999999E-2</v>
      </c>
      <c r="N180" s="6" t="s">
        <v>20</v>
      </c>
    </row>
    <row r="181" spans="1:14" ht="17" x14ac:dyDescent="0.35">
      <c r="A181" s="9">
        <v>103.8</v>
      </c>
      <c r="B181" s="11">
        <v>10.032</v>
      </c>
      <c r="C181" s="6">
        <v>1.4803999999999999</v>
      </c>
      <c r="D181" s="6">
        <v>0.67549000000000003</v>
      </c>
      <c r="E181" s="6">
        <v>1.7799</v>
      </c>
      <c r="F181" s="6">
        <v>2.4575999999999998</v>
      </c>
      <c r="G181" s="6">
        <v>137.96</v>
      </c>
      <c r="H181" s="6">
        <v>24.622</v>
      </c>
      <c r="I181" s="6">
        <v>46.337000000000003</v>
      </c>
      <c r="J181" s="6">
        <v>182.78</v>
      </c>
      <c r="K181" s="6">
        <v>1.6456999999999999</v>
      </c>
      <c r="L181" s="6">
        <v>7.8407999999999998</v>
      </c>
      <c r="M181" s="6">
        <v>1.1684999999999999E-2</v>
      </c>
      <c r="N181" s="6" t="s">
        <v>20</v>
      </c>
    </row>
    <row r="182" spans="1:14" ht="17" x14ac:dyDescent="0.35">
      <c r="A182" s="9">
        <v>103.88</v>
      </c>
      <c r="B182" s="11">
        <v>10.089</v>
      </c>
      <c r="C182" s="6">
        <v>1.4891000000000001</v>
      </c>
      <c r="D182" s="6">
        <v>0.67154999999999998</v>
      </c>
      <c r="E182" s="6">
        <v>1.7798</v>
      </c>
      <c r="F182" s="6">
        <v>2.4573</v>
      </c>
      <c r="G182" s="6">
        <v>137.93</v>
      </c>
      <c r="H182" s="6">
        <v>24.638999999999999</v>
      </c>
      <c r="I182" s="6">
        <v>46.451999999999998</v>
      </c>
      <c r="J182" s="6">
        <v>182.76</v>
      </c>
      <c r="K182" s="6">
        <v>1.6434</v>
      </c>
      <c r="L182" s="6">
        <v>7.8506999999999998</v>
      </c>
      <c r="M182" s="6">
        <v>1.171E-2</v>
      </c>
      <c r="N182" s="6" t="s">
        <v>20</v>
      </c>
    </row>
    <row r="183" spans="1:14" ht="17" x14ac:dyDescent="0.35">
      <c r="A183" s="9">
        <v>103.97</v>
      </c>
      <c r="B183" s="11">
        <v>10.145</v>
      </c>
      <c r="C183" s="6">
        <v>1.4978</v>
      </c>
      <c r="D183" s="6">
        <v>0.66764999999999997</v>
      </c>
      <c r="E183" s="6">
        <v>1.7797000000000001</v>
      </c>
      <c r="F183" s="6">
        <v>2.4569999999999999</v>
      </c>
      <c r="G183" s="6">
        <v>137.88999999999999</v>
      </c>
      <c r="H183" s="6">
        <v>24.655999999999999</v>
      </c>
      <c r="I183" s="6">
        <v>46.567</v>
      </c>
      <c r="J183" s="6">
        <v>182.75</v>
      </c>
      <c r="K183" s="6">
        <v>1.641</v>
      </c>
      <c r="L183" s="6">
        <v>7.8605999999999998</v>
      </c>
      <c r="M183" s="6">
        <v>1.1734E-2</v>
      </c>
      <c r="N183" s="6" t="s">
        <v>20</v>
      </c>
    </row>
    <row r="184" spans="1:14" ht="17" x14ac:dyDescent="0.35">
      <c r="A184" s="9">
        <v>104.06</v>
      </c>
      <c r="B184" s="11">
        <v>10.201000000000001</v>
      </c>
      <c r="C184" s="6">
        <v>1.5065</v>
      </c>
      <c r="D184" s="6">
        <v>0.66379999999999995</v>
      </c>
      <c r="E184" s="6">
        <v>1.7796000000000001</v>
      </c>
      <c r="F184" s="6">
        <v>2.4567000000000001</v>
      </c>
      <c r="G184" s="6">
        <v>137.85</v>
      </c>
      <c r="H184" s="6">
        <v>24.672000000000001</v>
      </c>
      <c r="I184" s="6">
        <v>46.683</v>
      </c>
      <c r="J184" s="6">
        <v>182.73</v>
      </c>
      <c r="K184" s="6">
        <v>1.6387</v>
      </c>
      <c r="L184" s="6">
        <v>7.8704999999999998</v>
      </c>
      <c r="M184" s="6">
        <v>1.1759E-2</v>
      </c>
      <c r="N184" s="6" t="s">
        <v>20</v>
      </c>
    </row>
    <row r="185" spans="1:14" ht="17" x14ac:dyDescent="0.35">
      <c r="A185" s="9">
        <v>104.14</v>
      </c>
      <c r="B185" s="11">
        <v>10.257999999999999</v>
      </c>
      <c r="C185" s="6">
        <v>1.5152000000000001</v>
      </c>
      <c r="D185" s="6">
        <v>0.65998000000000001</v>
      </c>
      <c r="E185" s="6">
        <v>1.7795000000000001</v>
      </c>
      <c r="F185" s="6">
        <v>2.4563999999999999</v>
      </c>
      <c r="G185" s="6">
        <v>137.81</v>
      </c>
      <c r="H185" s="6">
        <v>24.689</v>
      </c>
      <c r="I185" s="6">
        <v>46.798999999999999</v>
      </c>
      <c r="J185" s="6">
        <v>182.71</v>
      </c>
      <c r="K185" s="6">
        <v>1.6364000000000001</v>
      </c>
      <c r="L185" s="6">
        <v>7.8803000000000001</v>
      </c>
      <c r="M185" s="6">
        <v>1.1783E-2</v>
      </c>
      <c r="N185" s="6" t="s">
        <v>20</v>
      </c>
    </row>
    <row r="186" spans="1:14" ht="17" x14ac:dyDescent="0.35">
      <c r="A186" s="9">
        <v>104.23</v>
      </c>
      <c r="B186" s="11">
        <v>10.314</v>
      </c>
      <c r="C186" s="6">
        <v>1.5239</v>
      </c>
      <c r="D186" s="6">
        <v>0.65620000000000001</v>
      </c>
      <c r="E186" s="6">
        <v>1.7793000000000001</v>
      </c>
      <c r="F186" s="6">
        <v>2.4561000000000002</v>
      </c>
      <c r="G186" s="6">
        <v>137.77000000000001</v>
      </c>
      <c r="H186" s="6">
        <v>24.706</v>
      </c>
      <c r="I186" s="6">
        <v>46.914999999999999</v>
      </c>
      <c r="J186" s="6">
        <v>182.69</v>
      </c>
      <c r="K186" s="6">
        <v>1.6339999999999999</v>
      </c>
      <c r="L186" s="6">
        <v>7.8902000000000001</v>
      </c>
      <c r="M186" s="6">
        <v>1.1808000000000001E-2</v>
      </c>
      <c r="N186" s="6" t="s">
        <v>20</v>
      </c>
    </row>
    <row r="187" spans="1:14" ht="17" x14ac:dyDescent="0.35">
      <c r="A187" s="9">
        <v>104.31</v>
      </c>
      <c r="B187" s="11">
        <v>10.37</v>
      </c>
      <c r="C187" s="6">
        <v>1.5327</v>
      </c>
      <c r="D187" s="6">
        <v>0.65246000000000004</v>
      </c>
      <c r="E187" s="6">
        <v>1.7791999999999999</v>
      </c>
      <c r="F187" s="6">
        <v>2.4558</v>
      </c>
      <c r="G187" s="6">
        <v>137.72999999999999</v>
      </c>
      <c r="H187" s="6">
        <v>24.722999999999999</v>
      </c>
      <c r="I187" s="6">
        <v>47.031999999999996</v>
      </c>
      <c r="J187" s="6">
        <v>182.67</v>
      </c>
      <c r="K187" s="6">
        <v>1.6316999999999999</v>
      </c>
      <c r="L187" s="6">
        <v>7.9</v>
      </c>
      <c r="M187" s="6">
        <v>1.1832000000000001E-2</v>
      </c>
      <c r="N187" s="6" t="s">
        <v>20</v>
      </c>
    </row>
    <row r="188" spans="1:14" ht="17" x14ac:dyDescent="0.35">
      <c r="A188" s="9">
        <v>104.4</v>
      </c>
      <c r="B188" s="11">
        <v>10.427</v>
      </c>
      <c r="C188" s="6">
        <v>1.5414000000000001</v>
      </c>
      <c r="D188" s="6">
        <v>0.64876</v>
      </c>
      <c r="E188" s="6">
        <v>1.7790999999999999</v>
      </c>
      <c r="F188" s="6">
        <v>2.4554999999999998</v>
      </c>
      <c r="G188" s="6">
        <v>137.69</v>
      </c>
      <c r="H188" s="6">
        <v>24.74</v>
      </c>
      <c r="I188" s="6">
        <v>47.149000000000001</v>
      </c>
      <c r="J188" s="6">
        <v>182.65</v>
      </c>
      <c r="K188" s="6">
        <v>1.6294</v>
      </c>
      <c r="L188" s="6">
        <v>7.9099000000000004</v>
      </c>
      <c r="M188" s="6">
        <v>1.1856999999999999E-2</v>
      </c>
      <c r="N188" s="6" t="s">
        <v>20</v>
      </c>
    </row>
    <row r="189" spans="1:14" ht="17" x14ac:dyDescent="0.35">
      <c r="A189" s="9">
        <v>104.48</v>
      </c>
      <c r="B189" s="11">
        <v>10.483000000000001</v>
      </c>
      <c r="C189" s="6">
        <v>1.5502</v>
      </c>
      <c r="D189" s="6">
        <v>0.64509000000000005</v>
      </c>
      <c r="E189" s="6">
        <v>1.7788999999999999</v>
      </c>
      <c r="F189" s="6">
        <v>2.4550999999999998</v>
      </c>
      <c r="G189" s="6">
        <v>137.66</v>
      </c>
      <c r="H189" s="6">
        <v>24.756</v>
      </c>
      <c r="I189" s="6">
        <v>47.267000000000003</v>
      </c>
      <c r="J189" s="6">
        <v>182.63</v>
      </c>
      <c r="K189" s="6">
        <v>1.6272</v>
      </c>
      <c r="L189" s="6">
        <v>7.9196999999999997</v>
      </c>
      <c r="M189" s="6">
        <v>1.1880999999999999E-2</v>
      </c>
      <c r="N189" s="6" t="s">
        <v>20</v>
      </c>
    </row>
    <row r="190" spans="1:14" ht="17" x14ac:dyDescent="0.35">
      <c r="A190" s="9">
        <v>104.57</v>
      </c>
      <c r="B190" s="11">
        <v>10.539</v>
      </c>
      <c r="C190" s="6">
        <v>1.5589</v>
      </c>
      <c r="D190" s="6">
        <v>0.64146000000000003</v>
      </c>
      <c r="E190" s="6">
        <v>1.7786999999999999</v>
      </c>
      <c r="F190" s="6">
        <v>2.4548000000000001</v>
      </c>
      <c r="G190" s="6">
        <v>137.62</v>
      </c>
      <c r="H190" s="6">
        <v>24.773</v>
      </c>
      <c r="I190" s="6">
        <v>47.386000000000003</v>
      </c>
      <c r="J190" s="6">
        <v>182.62</v>
      </c>
      <c r="K190" s="6">
        <v>1.6249</v>
      </c>
      <c r="L190" s="6">
        <v>7.9295</v>
      </c>
      <c r="M190" s="6">
        <v>1.1906E-2</v>
      </c>
      <c r="N190" s="6" t="s">
        <v>20</v>
      </c>
    </row>
    <row r="191" spans="1:14" ht="17" x14ac:dyDescent="0.35">
      <c r="A191" s="9">
        <v>104.65</v>
      </c>
      <c r="B191" s="11">
        <v>10.595000000000001</v>
      </c>
      <c r="C191" s="6">
        <v>1.5677000000000001</v>
      </c>
      <c r="D191" s="6">
        <v>0.63787000000000005</v>
      </c>
      <c r="E191" s="6">
        <v>1.7786</v>
      </c>
      <c r="F191" s="6">
        <v>2.4544000000000001</v>
      </c>
      <c r="G191" s="6">
        <v>137.58000000000001</v>
      </c>
      <c r="H191" s="6">
        <v>24.79</v>
      </c>
      <c r="I191" s="6">
        <v>47.505000000000003</v>
      </c>
      <c r="J191" s="6">
        <v>182.6</v>
      </c>
      <c r="K191" s="6">
        <v>1.6226</v>
      </c>
      <c r="L191" s="6">
        <v>7.9391999999999996</v>
      </c>
      <c r="M191" s="6">
        <v>1.1931000000000001E-2</v>
      </c>
      <c r="N191" s="6" t="s">
        <v>20</v>
      </c>
    </row>
    <row r="192" spans="1:14" ht="17" x14ac:dyDescent="0.35">
      <c r="A192" s="9">
        <v>104.73</v>
      </c>
      <c r="B192" s="11">
        <v>10.651999999999999</v>
      </c>
      <c r="C192" s="6">
        <v>1.5765</v>
      </c>
      <c r="D192" s="6">
        <v>0.63431999999999999</v>
      </c>
      <c r="E192" s="6">
        <v>1.7784</v>
      </c>
      <c r="F192" s="6">
        <v>2.4540999999999999</v>
      </c>
      <c r="G192" s="6">
        <v>137.54</v>
      </c>
      <c r="H192" s="6">
        <v>24.806999999999999</v>
      </c>
      <c r="I192" s="6">
        <v>47.624000000000002</v>
      </c>
      <c r="J192" s="6">
        <v>182.58</v>
      </c>
      <c r="K192" s="6">
        <v>1.6204000000000001</v>
      </c>
      <c r="L192" s="6">
        <v>7.9489999999999998</v>
      </c>
      <c r="M192" s="6">
        <v>1.1955E-2</v>
      </c>
      <c r="N192" s="6" t="s">
        <v>20</v>
      </c>
    </row>
    <row r="193" spans="1:14" ht="17" x14ac:dyDescent="0.35">
      <c r="A193" s="9">
        <v>104.82</v>
      </c>
      <c r="B193" s="11">
        <v>10.708</v>
      </c>
      <c r="C193" s="6">
        <v>1.5852999999999999</v>
      </c>
      <c r="D193" s="6">
        <v>0.63080000000000003</v>
      </c>
      <c r="E193" s="6">
        <v>1.7782</v>
      </c>
      <c r="F193" s="6">
        <v>2.4537</v>
      </c>
      <c r="G193" s="6">
        <v>137.5</v>
      </c>
      <c r="H193" s="6">
        <v>24.823</v>
      </c>
      <c r="I193" s="6">
        <v>47.744</v>
      </c>
      <c r="J193" s="6">
        <v>182.56</v>
      </c>
      <c r="K193" s="6">
        <v>1.6181000000000001</v>
      </c>
      <c r="L193" s="6">
        <v>7.9588000000000001</v>
      </c>
      <c r="M193" s="6">
        <v>1.1979999999999999E-2</v>
      </c>
      <c r="N193" s="6" t="s">
        <v>20</v>
      </c>
    </row>
    <row r="194" spans="1:14" ht="17" x14ac:dyDescent="0.35">
      <c r="A194" s="9">
        <v>104.9</v>
      </c>
      <c r="B194" s="11">
        <v>10.763999999999999</v>
      </c>
      <c r="C194" s="6">
        <v>1.5941000000000001</v>
      </c>
      <c r="D194" s="6">
        <v>0.62731000000000003</v>
      </c>
      <c r="E194" s="6">
        <v>1.778</v>
      </c>
      <c r="F194" s="6">
        <v>2.4533</v>
      </c>
      <c r="G194" s="6">
        <v>137.47</v>
      </c>
      <c r="H194" s="6">
        <v>24.84</v>
      </c>
      <c r="I194" s="6">
        <v>47.863999999999997</v>
      </c>
      <c r="J194" s="6">
        <v>182.54</v>
      </c>
      <c r="K194" s="6">
        <v>1.6158999999999999</v>
      </c>
      <c r="L194" s="6">
        <v>7.9684999999999997</v>
      </c>
      <c r="M194" s="6">
        <v>1.2005E-2</v>
      </c>
      <c r="N194" s="6" t="s">
        <v>20</v>
      </c>
    </row>
    <row r="195" spans="1:14" ht="17" x14ac:dyDescent="0.35">
      <c r="A195" s="9">
        <v>104.98</v>
      </c>
      <c r="B195" s="11">
        <v>10.821</v>
      </c>
      <c r="C195" s="6">
        <v>1.6029</v>
      </c>
      <c r="D195" s="6">
        <v>0.62385999999999997</v>
      </c>
      <c r="E195" s="6">
        <v>1.7778</v>
      </c>
      <c r="F195" s="6">
        <v>2.4529000000000001</v>
      </c>
      <c r="G195" s="6">
        <v>137.43</v>
      </c>
      <c r="H195" s="6">
        <v>24.856999999999999</v>
      </c>
      <c r="I195" s="6">
        <v>47.984999999999999</v>
      </c>
      <c r="J195" s="6">
        <v>182.52</v>
      </c>
      <c r="K195" s="6">
        <v>1.6136999999999999</v>
      </c>
      <c r="L195" s="6">
        <v>7.9782000000000002</v>
      </c>
      <c r="M195" s="6">
        <v>1.2030000000000001E-2</v>
      </c>
      <c r="N195" s="6" t="s">
        <v>20</v>
      </c>
    </row>
    <row r="196" spans="1:14" ht="17" x14ac:dyDescent="0.35">
      <c r="A196" s="9">
        <v>105.06</v>
      </c>
      <c r="B196" s="11">
        <v>10.877000000000001</v>
      </c>
      <c r="C196" s="6">
        <v>1.6117999999999999</v>
      </c>
      <c r="D196" s="6">
        <v>0.62043999999999999</v>
      </c>
      <c r="E196" s="6">
        <v>1.7776000000000001</v>
      </c>
      <c r="F196" s="6">
        <v>2.4525000000000001</v>
      </c>
      <c r="G196" s="6">
        <v>137.38999999999999</v>
      </c>
      <c r="H196" s="6">
        <v>24.873000000000001</v>
      </c>
      <c r="I196" s="6">
        <v>48.106999999999999</v>
      </c>
      <c r="J196" s="6">
        <v>182.49</v>
      </c>
      <c r="K196" s="6">
        <v>1.6114999999999999</v>
      </c>
      <c r="L196" s="6">
        <v>7.9880000000000004</v>
      </c>
      <c r="M196" s="6">
        <v>1.2054E-2</v>
      </c>
      <c r="N196" s="6" t="s">
        <v>20</v>
      </c>
    </row>
    <row r="197" spans="1:14" ht="17" x14ac:dyDescent="0.35">
      <c r="A197" s="9">
        <v>105.15</v>
      </c>
      <c r="B197" s="11">
        <v>10.933</v>
      </c>
      <c r="C197" s="6">
        <v>1.6206</v>
      </c>
      <c r="D197" s="6">
        <v>0.61704999999999999</v>
      </c>
      <c r="E197" s="6">
        <v>1.7774000000000001</v>
      </c>
      <c r="F197" s="6">
        <v>2.452</v>
      </c>
      <c r="G197" s="6">
        <v>137.36000000000001</v>
      </c>
      <c r="H197" s="6">
        <v>24.89</v>
      </c>
      <c r="I197" s="6">
        <v>48.228999999999999</v>
      </c>
      <c r="J197" s="6">
        <v>182.47</v>
      </c>
      <c r="K197" s="6">
        <v>1.6093</v>
      </c>
      <c r="L197" s="6">
        <v>7.9977</v>
      </c>
      <c r="M197" s="6">
        <v>1.2078999999999999E-2</v>
      </c>
      <c r="N197" s="6" t="s">
        <v>20</v>
      </c>
    </row>
    <row r="198" spans="1:14" ht="17" x14ac:dyDescent="0.35">
      <c r="A198" s="9">
        <v>105.23</v>
      </c>
      <c r="B198" s="11">
        <v>10.989000000000001</v>
      </c>
      <c r="C198" s="6">
        <v>1.6294999999999999</v>
      </c>
      <c r="D198" s="6">
        <v>0.61370000000000002</v>
      </c>
      <c r="E198" s="6">
        <v>1.7771999999999999</v>
      </c>
      <c r="F198" s="6">
        <v>2.4516</v>
      </c>
      <c r="G198" s="6">
        <v>137.32</v>
      </c>
      <c r="H198" s="6">
        <v>24.907</v>
      </c>
      <c r="I198" s="6">
        <v>48.350999999999999</v>
      </c>
      <c r="J198" s="6">
        <v>182.45</v>
      </c>
      <c r="K198" s="6">
        <v>1.6071</v>
      </c>
      <c r="L198" s="6">
        <v>8.0074000000000005</v>
      </c>
      <c r="M198" s="6">
        <v>1.2104E-2</v>
      </c>
      <c r="N198" s="6" t="s">
        <v>20</v>
      </c>
    </row>
    <row r="199" spans="1:14" ht="17" x14ac:dyDescent="0.35">
      <c r="A199" s="9">
        <v>105.31</v>
      </c>
      <c r="B199" s="11">
        <v>11.045999999999999</v>
      </c>
      <c r="C199" s="6">
        <v>1.6383000000000001</v>
      </c>
      <c r="D199" s="6">
        <v>0.61038000000000003</v>
      </c>
      <c r="E199" s="6">
        <v>1.7769999999999999</v>
      </c>
      <c r="F199" s="6">
        <v>2.4512</v>
      </c>
      <c r="G199" s="6">
        <v>137.28</v>
      </c>
      <c r="H199" s="6">
        <v>24.922999999999998</v>
      </c>
      <c r="I199" s="6">
        <v>48.473999999999997</v>
      </c>
      <c r="J199" s="6">
        <v>182.43</v>
      </c>
      <c r="K199" s="6">
        <v>1.6049</v>
      </c>
      <c r="L199" s="6">
        <v>8.0170999999999992</v>
      </c>
      <c r="M199" s="6">
        <v>1.2128999999999999E-2</v>
      </c>
      <c r="N199" s="6" t="s">
        <v>20</v>
      </c>
    </row>
    <row r="200" spans="1:14" ht="17" x14ac:dyDescent="0.35">
      <c r="A200" s="9">
        <v>105.39</v>
      </c>
      <c r="B200" s="11">
        <v>11.102</v>
      </c>
      <c r="C200" s="6">
        <v>1.6472</v>
      </c>
      <c r="D200" s="6">
        <v>0.60709000000000002</v>
      </c>
      <c r="E200" s="6">
        <v>1.7766999999999999</v>
      </c>
      <c r="F200" s="6">
        <v>2.4506999999999999</v>
      </c>
      <c r="G200" s="6">
        <v>137.24</v>
      </c>
      <c r="H200" s="6">
        <v>24.94</v>
      </c>
      <c r="I200" s="6">
        <v>48.597999999999999</v>
      </c>
      <c r="J200" s="6">
        <v>182.41</v>
      </c>
      <c r="K200" s="6">
        <v>1.6028</v>
      </c>
      <c r="L200" s="6">
        <v>8.0266999999999999</v>
      </c>
      <c r="M200" s="6">
        <v>1.2154E-2</v>
      </c>
      <c r="N200" s="6" t="s">
        <v>20</v>
      </c>
    </row>
    <row r="201" spans="1:14" ht="17" x14ac:dyDescent="0.35">
      <c r="A201" s="9">
        <v>105.47</v>
      </c>
      <c r="B201" s="11">
        <v>11.157999999999999</v>
      </c>
      <c r="C201" s="6">
        <v>1.6560999999999999</v>
      </c>
      <c r="D201" s="6">
        <v>0.60382999999999998</v>
      </c>
      <c r="E201" s="6">
        <v>1.7765</v>
      </c>
      <c r="F201" s="6">
        <v>2.4502999999999999</v>
      </c>
      <c r="G201" s="6">
        <v>137.21</v>
      </c>
      <c r="H201" s="6">
        <v>24.957000000000001</v>
      </c>
      <c r="I201" s="6">
        <v>48.722000000000001</v>
      </c>
      <c r="J201" s="6">
        <v>182.39</v>
      </c>
      <c r="K201" s="6">
        <v>1.6006</v>
      </c>
      <c r="L201" s="6">
        <v>8.0364000000000004</v>
      </c>
      <c r="M201" s="6">
        <v>1.2179000000000001E-2</v>
      </c>
      <c r="N201" s="6" t="s">
        <v>20</v>
      </c>
    </row>
    <row r="202" spans="1:14" ht="17" x14ac:dyDescent="0.35">
      <c r="A202" s="9">
        <v>105.55</v>
      </c>
      <c r="B202" s="11">
        <v>11.215</v>
      </c>
      <c r="C202" s="6">
        <v>1.665</v>
      </c>
      <c r="D202" s="6">
        <v>0.60060000000000002</v>
      </c>
      <c r="E202" s="6">
        <v>1.7762</v>
      </c>
      <c r="F202" s="6">
        <v>2.4498000000000002</v>
      </c>
      <c r="G202" s="6">
        <v>137.16999999999999</v>
      </c>
      <c r="H202" s="6">
        <v>24.974</v>
      </c>
      <c r="I202" s="6">
        <v>48.845999999999997</v>
      </c>
      <c r="J202" s="6">
        <v>182.37</v>
      </c>
      <c r="K202" s="6">
        <v>1.5985</v>
      </c>
      <c r="L202" s="6">
        <v>8.0460999999999991</v>
      </c>
      <c r="M202" s="6">
        <v>1.2204E-2</v>
      </c>
      <c r="N202" s="6" t="s">
        <v>20</v>
      </c>
    </row>
    <row r="203" spans="1:14" ht="17" x14ac:dyDescent="0.35">
      <c r="A203" s="9">
        <v>105.63</v>
      </c>
      <c r="B203" s="11">
        <v>11.271000000000001</v>
      </c>
      <c r="C203" s="6">
        <v>1.6738999999999999</v>
      </c>
      <c r="D203" s="6">
        <v>0.59741</v>
      </c>
      <c r="E203" s="6">
        <v>1.776</v>
      </c>
      <c r="F203" s="6">
        <v>2.4493</v>
      </c>
      <c r="G203" s="6">
        <v>137.13</v>
      </c>
      <c r="H203" s="6">
        <v>24.99</v>
      </c>
      <c r="I203" s="6">
        <v>48.970999999999997</v>
      </c>
      <c r="J203" s="6">
        <v>182.35</v>
      </c>
      <c r="K203" s="6">
        <v>1.5963000000000001</v>
      </c>
      <c r="L203" s="6">
        <v>8.0556999999999999</v>
      </c>
      <c r="M203" s="6">
        <v>1.2229E-2</v>
      </c>
      <c r="N203" s="6" t="s">
        <v>20</v>
      </c>
    </row>
    <row r="204" spans="1:14" ht="17" x14ac:dyDescent="0.35">
      <c r="A204" s="9">
        <v>105.71</v>
      </c>
      <c r="B204" s="11">
        <v>11.327</v>
      </c>
      <c r="C204" s="6">
        <v>1.6828000000000001</v>
      </c>
      <c r="D204" s="6">
        <v>0.59423999999999999</v>
      </c>
      <c r="E204" s="6">
        <v>1.7757000000000001</v>
      </c>
      <c r="F204" s="6">
        <v>2.4487999999999999</v>
      </c>
      <c r="G204" s="6">
        <v>137.1</v>
      </c>
      <c r="H204" s="6">
        <v>25.007000000000001</v>
      </c>
      <c r="I204" s="6">
        <v>49.097000000000001</v>
      </c>
      <c r="J204" s="6">
        <v>182.32</v>
      </c>
      <c r="K204" s="6">
        <v>1.5942000000000001</v>
      </c>
      <c r="L204" s="6">
        <v>8.0654000000000003</v>
      </c>
      <c r="M204" s="6">
        <v>1.2253999999999999E-2</v>
      </c>
      <c r="N204" s="6" t="s">
        <v>20</v>
      </c>
    </row>
    <row r="205" spans="1:14" ht="17" x14ac:dyDescent="0.35">
      <c r="A205" s="9">
        <v>105.79</v>
      </c>
      <c r="B205" s="11">
        <v>11.382999999999999</v>
      </c>
      <c r="C205" s="6">
        <v>1.6918</v>
      </c>
      <c r="D205" s="6">
        <v>0.59109999999999996</v>
      </c>
      <c r="E205" s="6">
        <v>1.7755000000000001</v>
      </c>
      <c r="F205" s="6">
        <v>2.4483000000000001</v>
      </c>
      <c r="G205" s="6">
        <v>137.06</v>
      </c>
      <c r="H205" s="6">
        <v>25.024000000000001</v>
      </c>
      <c r="I205" s="6">
        <v>49.222999999999999</v>
      </c>
      <c r="J205" s="6">
        <v>182.3</v>
      </c>
      <c r="K205" s="6">
        <v>1.5921000000000001</v>
      </c>
      <c r="L205" s="6">
        <v>8.0749999999999993</v>
      </c>
      <c r="M205" s="6">
        <v>1.2279999999999999E-2</v>
      </c>
      <c r="N205" s="6" t="s">
        <v>20</v>
      </c>
    </row>
    <row r="206" spans="1:14" ht="17" x14ac:dyDescent="0.35">
      <c r="A206" s="9">
        <v>105.87</v>
      </c>
      <c r="B206" s="11">
        <v>11.44</v>
      </c>
      <c r="C206" s="6">
        <v>1.7007000000000001</v>
      </c>
      <c r="D206" s="6">
        <v>0.58799000000000001</v>
      </c>
      <c r="E206" s="6">
        <v>1.7751999999999999</v>
      </c>
      <c r="F206" s="6">
        <v>2.4478</v>
      </c>
      <c r="G206" s="6">
        <v>137.03</v>
      </c>
      <c r="H206" s="6">
        <v>25.04</v>
      </c>
      <c r="I206" s="6">
        <v>49.35</v>
      </c>
      <c r="J206" s="6">
        <v>182.28</v>
      </c>
      <c r="K206" s="6">
        <v>1.59</v>
      </c>
      <c r="L206" s="6">
        <v>8.0846</v>
      </c>
      <c r="M206" s="6">
        <v>1.2305E-2</v>
      </c>
      <c r="N206" s="6" t="s">
        <v>20</v>
      </c>
    </row>
    <row r="207" spans="1:14" ht="17" x14ac:dyDescent="0.35">
      <c r="A207" s="9">
        <v>105.95</v>
      </c>
      <c r="B207" s="11">
        <v>11.496</v>
      </c>
      <c r="C207" s="6">
        <v>1.7097</v>
      </c>
      <c r="D207" s="6">
        <v>0.58491000000000004</v>
      </c>
      <c r="E207" s="6">
        <v>1.7748999999999999</v>
      </c>
      <c r="F207" s="6">
        <v>2.4472999999999998</v>
      </c>
      <c r="G207" s="6">
        <v>136.99</v>
      </c>
      <c r="H207" s="6">
        <v>25.056999999999999</v>
      </c>
      <c r="I207" s="6">
        <v>49.478000000000002</v>
      </c>
      <c r="J207" s="6">
        <v>182.26</v>
      </c>
      <c r="K207" s="6">
        <v>1.5879000000000001</v>
      </c>
      <c r="L207" s="6">
        <v>8.0942000000000007</v>
      </c>
      <c r="M207" s="6">
        <v>1.2330000000000001E-2</v>
      </c>
      <c r="N207" s="6" t="s">
        <v>20</v>
      </c>
    </row>
    <row r="208" spans="1:14" ht="17" x14ac:dyDescent="0.35">
      <c r="A208" s="9">
        <v>106.03</v>
      </c>
      <c r="B208" s="11">
        <v>11.552</v>
      </c>
      <c r="C208" s="6">
        <v>1.7185999999999999</v>
      </c>
      <c r="D208" s="6">
        <v>0.58186000000000004</v>
      </c>
      <c r="E208" s="6">
        <v>1.7746</v>
      </c>
      <c r="F208" s="6">
        <v>2.4468000000000001</v>
      </c>
      <c r="G208" s="6">
        <v>136.94999999999999</v>
      </c>
      <c r="H208" s="6">
        <v>25.074000000000002</v>
      </c>
      <c r="I208" s="6">
        <v>49.606000000000002</v>
      </c>
      <c r="J208" s="6">
        <v>182.23</v>
      </c>
      <c r="K208" s="6">
        <v>1.5858000000000001</v>
      </c>
      <c r="L208" s="6">
        <v>8.1037999999999997</v>
      </c>
      <c r="M208" s="6">
        <v>1.2355E-2</v>
      </c>
      <c r="N208" s="6" t="s">
        <v>20</v>
      </c>
    </row>
    <row r="209" spans="1:14" ht="17" x14ac:dyDescent="0.35">
      <c r="A209" s="9">
        <v>106.11</v>
      </c>
      <c r="B209" s="11">
        <v>11.609</v>
      </c>
      <c r="C209" s="6">
        <v>1.7276</v>
      </c>
      <c r="D209" s="6">
        <v>0.57882999999999996</v>
      </c>
      <c r="E209" s="6">
        <v>1.7743</v>
      </c>
      <c r="F209" s="6">
        <v>2.4462999999999999</v>
      </c>
      <c r="G209" s="6">
        <v>136.91999999999999</v>
      </c>
      <c r="H209" s="6">
        <v>25.09</v>
      </c>
      <c r="I209" s="6">
        <v>49.734000000000002</v>
      </c>
      <c r="J209" s="6">
        <v>182.21</v>
      </c>
      <c r="K209" s="6">
        <v>1.5837000000000001</v>
      </c>
      <c r="L209" s="6">
        <v>8.1134000000000004</v>
      </c>
      <c r="M209" s="6">
        <v>1.2381E-2</v>
      </c>
      <c r="N209" s="6" t="s">
        <v>20</v>
      </c>
    </row>
    <row r="210" spans="1:14" ht="17" x14ac:dyDescent="0.35">
      <c r="A210" s="9">
        <v>106.18</v>
      </c>
      <c r="B210" s="11">
        <v>11.664999999999999</v>
      </c>
      <c r="C210" s="6">
        <v>1.7365999999999999</v>
      </c>
      <c r="D210" s="6">
        <v>0.57584000000000002</v>
      </c>
      <c r="E210" s="6">
        <v>1.774</v>
      </c>
      <c r="F210" s="6">
        <v>2.4457</v>
      </c>
      <c r="G210" s="6">
        <v>136.88</v>
      </c>
      <c r="H210" s="6">
        <v>25.106999999999999</v>
      </c>
      <c r="I210" s="6">
        <v>49.863</v>
      </c>
      <c r="J210" s="6">
        <v>182.19</v>
      </c>
      <c r="K210" s="6">
        <v>1.5815999999999999</v>
      </c>
      <c r="L210" s="6">
        <v>8.1229999999999993</v>
      </c>
      <c r="M210" s="6">
        <v>1.2406E-2</v>
      </c>
      <c r="N210" s="6" t="s">
        <v>20</v>
      </c>
    </row>
    <row r="211" spans="1:14" ht="17" x14ac:dyDescent="0.35">
      <c r="A211" s="9">
        <v>106.26</v>
      </c>
      <c r="B211" s="11">
        <v>11.721</v>
      </c>
      <c r="C211" s="6">
        <v>1.7456</v>
      </c>
      <c r="D211" s="6">
        <v>0.57286999999999999</v>
      </c>
      <c r="E211" s="6">
        <v>1.7737000000000001</v>
      </c>
      <c r="F211" s="6">
        <v>2.4451999999999998</v>
      </c>
      <c r="G211" s="6">
        <v>136.85</v>
      </c>
      <c r="H211" s="6">
        <v>25.123999999999999</v>
      </c>
      <c r="I211" s="6">
        <v>49.993000000000002</v>
      </c>
      <c r="J211" s="6">
        <v>182.16</v>
      </c>
      <c r="K211" s="6">
        <v>1.5794999999999999</v>
      </c>
      <c r="L211" s="6">
        <v>8.1326000000000001</v>
      </c>
      <c r="M211" s="6">
        <v>1.2432E-2</v>
      </c>
      <c r="N211" s="6" t="s">
        <v>20</v>
      </c>
    </row>
    <row r="212" spans="1:14" ht="17" x14ac:dyDescent="0.35">
      <c r="A212" s="9">
        <v>106.34</v>
      </c>
      <c r="B212" s="11">
        <v>11.778</v>
      </c>
      <c r="C212" s="6">
        <v>1.7545999999999999</v>
      </c>
      <c r="D212" s="6">
        <v>0.56991999999999998</v>
      </c>
      <c r="E212" s="6">
        <v>1.7734000000000001</v>
      </c>
      <c r="F212" s="6">
        <v>2.4445999999999999</v>
      </c>
      <c r="G212" s="6">
        <v>136.81</v>
      </c>
      <c r="H212" s="6">
        <v>25.14</v>
      </c>
      <c r="I212" s="6">
        <v>50.122999999999998</v>
      </c>
      <c r="J212" s="6">
        <v>182.14</v>
      </c>
      <c r="K212" s="6">
        <v>1.5774999999999999</v>
      </c>
      <c r="L212" s="6">
        <v>8.1420999999999992</v>
      </c>
      <c r="M212" s="6">
        <v>1.2456999999999999E-2</v>
      </c>
      <c r="N212" s="6" t="s">
        <v>20</v>
      </c>
    </row>
    <row r="213" spans="1:14" ht="17" x14ac:dyDescent="0.35">
      <c r="A213" s="9">
        <v>106.42</v>
      </c>
      <c r="B213" s="11">
        <v>11.834</v>
      </c>
      <c r="C213" s="6">
        <v>1.7637</v>
      </c>
      <c r="D213" s="6">
        <v>0.56701000000000001</v>
      </c>
      <c r="E213" s="6">
        <v>1.7729999999999999</v>
      </c>
      <c r="F213" s="6">
        <v>2.444</v>
      </c>
      <c r="G213" s="6">
        <v>136.78</v>
      </c>
      <c r="H213" s="6">
        <v>25.157</v>
      </c>
      <c r="I213" s="6">
        <v>50.253999999999998</v>
      </c>
      <c r="J213" s="6">
        <v>182.12</v>
      </c>
      <c r="K213" s="6">
        <v>1.5753999999999999</v>
      </c>
      <c r="L213" s="6">
        <v>8.1516999999999999</v>
      </c>
      <c r="M213" s="6">
        <v>1.2482999999999999E-2</v>
      </c>
      <c r="N213" s="6" t="s">
        <v>20</v>
      </c>
    </row>
    <row r="214" spans="1:14" ht="17" x14ac:dyDescent="0.35">
      <c r="A214" s="9">
        <v>106.49</v>
      </c>
      <c r="B214" s="11">
        <v>11.89</v>
      </c>
      <c r="C214" s="6">
        <v>1.7726999999999999</v>
      </c>
      <c r="D214" s="6">
        <v>0.56411</v>
      </c>
      <c r="E214" s="6">
        <v>1.7726999999999999</v>
      </c>
      <c r="F214" s="6">
        <v>2.4434</v>
      </c>
      <c r="G214" s="6">
        <v>136.74</v>
      </c>
      <c r="H214" s="6">
        <v>25.172999999999998</v>
      </c>
      <c r="I214" s="6">
        <v>50.386000000000003</v>
      </c>
      <c r="J214" s="6">
        <v>182.09</v>
      </c>
      <c r="K214" s="6">
        <v>1.5733999999999999</v>
      </c>
      <c r="L214" s="6">
        <v>8.1611999999999991</v>
      </c>
      <c r="M214" s="6">
        <v>1.2508E-2</v>
      </c>
      <c r="N214" s="6" t="s">
        <v>20</v>
      </c>
    </row>
    <row r="215" spans="1:14" ht="17" x14ac:dyDescent="0.35">
      <c r="A215" s="9">
        <v>106.57</v>
      </c>
      <c r="B215" s="11">
        <v>11.946</v>
      </c>
      <c r="C215" s="6">
        <v>1.7817000000000001</v>
      </c>
      <c r="D215" s="6">
        <v>0.56125000000000003</v>
      </c>
      <c r="E215" s="6">
        <v>1.7724</v>
      </c>
      <c r="F215" s="6">
        <v>2.4428999999999998</v>
      </c>
      <c r="G215" s="6">
        <v>136.71</v>
      </c>
      <c r="H215" s="6">
        <v>25.19</v>
      </c>
      <c r="I215" s="6">
        <v>50.518000000000001</v>
      </c>
      <c r="J215" s="6">
        <v>182.07</v>
      </c>
      <c r="K215" s="6">
        <v>1.5713999999999999</v>
      </c>
      <c r="L215" s="6">
        <v>8.1707999999999998</v>
      </c>
      <c r="M215" s="6">
        <v>1.2534E-2</v>
      </c>
      <c r="N215" s="6" t="s">
        <v>20</v>
      </c>
    </row>
    <row r="216" spans="1:14" ht="17" x14ac:dyDescent="0.35">
      <c r="A216" s="9">
        <v>106.65</v>
      </c>
      <c r="B216" s="11">
        <v>12.003</v>
      </c>
      <c r="C216" s="6">
        <v>1.7907999999999999</v>
      </c>
      <c r="D216" s="6">
        <v>0.55840999999999996</v>
      </c>
      <c r="E216" s="6">
        <v>1.772</v>
      </c>
      <c r="F216" s="6">
        <v>2.4422999999999999</v>
      </c>
      <c r="G216" s="6">
        <v>136.66999999999999</v>
      </c>
      <c r="H216" s="6">
        <v>25.207000000000001</v>
      </c>
      <c r="I216" s="6">
        <v>50.651000000000003</v>
      </c>
      <c r="J216" s="6">
        <v>182.05</v>
      </c>
      <c r="K216" s="6">
        <v>1.5692999999999999</v>
      </c>
      <c r="L216" s="6">
        <v>8.1803000000000008</v>
      </c>
      <c r="M216" s="6">
        <v>1.2559000000000001E-2</v>
      </c>
      <c r="N216" s="6" t="s">
        <v>20</v>
      </c>
    </row>
    <row r="217" spans="1:14" ht="17" x14ac:dyDescent="0.35">
      <c r="A217" s="9">
        <v>106.72</v>
      </c>
      <c r="B217" s="11">
        <v>12.058999999999999</v>
      </c>
      <c r="C217" s="6">
        <v>1.7999000000000001</v>
      </c>
      <c r="D217" s="6">
        <v>0.55559000000000003</v>
      </c>
      <c r="E217" s="6">
        <v>1.7717000000000001</v>
      </c>
      <c r="F217" s="6">
        <v>2.4417</v>
      </c>
      <c r="G217" s="6">
        <v>136.63</v>
      </c>
      <c r="H217" s="6">
        <v>25.222999999999999</v>
      </c>
      <c r="I217" s="6">
        <v>50.783999999999999</v>
      </c>
      <c r="J217" s="6">
        <v>182.02</v>
      </c>
      <c r="K217" s="6">
        <v>1.5672999999999999</v>
      </c>
      <c r="L217" s="6">
        <v>8.1898999999999997</v>
      </c>
      <c r="M217" s="6">
        <v>1.2585000000000001E-2</v>
      </c>
      <c r="N217" s="6" t="s">
        <v>20</v>
      </c>
    </row>
    <row r="218" spans="1:14" ht="17" x14ac:dyDescent="0.35">
      <c r="A218" s="9">
        <v>106.8</v>
      </c>
      <c r="B218" s="11">
        <v>12.115</v>
      </c>
      <c r="C218" s="6">
        <v>1.8089999999999999</v>
      </c>
      <c r="D218" s="6">
        <v>0.55279999999999996</v>
      </c>
      <c r="E218" s="6">
        <v>1.7713000000000001</v>
      </c>
      <c r="F218" s="6">
        <v>2.4409999999999998</v>
      </c>
      <c r="G218" s="6">
        <v>136.6</v>
      </c>
      <c r="H218" s="6">
        <v>25.24</v>
      </c>
      <c r="I218" s="6">
        <v>50.917999999999999</v>
      </c>
      <c r="J218" s="6">
        <v>182</v>
      </c>
      <c r="K218" s="6">
        <v>1.5652999999999999</v>
      </c>
      <c r="L218" s="6">
        <v>8.1994000000000007</v>
      </c>
      <c r="M218" s="6">
        <v>1.2611000000000001E-2</v>
      </c>
      <c r="N218" s="6" t="s">
        <v>20</v>
      </c>
    </row>
    <row r="219" spans="1:14" ht="17" x14ac:dyDescent="0.35">
      <c r="A219" s="9">
        <v>106.88</v>
      </c>
      <c r="B219" s="11">
        <v>12.172000000000001</v>
      </c>
      <c r="C219" s="6">
        <v>1.8181</v>
      </c>
      <c r="D219" s="6">
        <v>0.55003000000000002</v>
      </c>
      <c r="E219" s="6">
        <v>1.7708999999999999</v>
      </c>
      <c r="F219" s="6">
        <v>2.4403999999999999</v>
      </c>
      <c r="G219" s="6">
        <v>136.57</v>
      </c>
      <c r="H219" s="6">
        <v>25.257000000000001</v>
      </c>
      <c r="I219" s="6">
        <v>51.052999999999997</v>
      </c>
      <c r="J219" s="6">
        <v>181.97</v>
      </c>
      <c r="K219" s="6">
        <v>1.5632999999999999</v>
      </c>
      <c r="L219" s="6">
        <v>8.2088999999999999</v>
      </c>
      <c r="M219" s="6">
        <v>1.2637000000000001E-2</v>
      </c>
      <c r="N219" s="6" t="s">
        <v>20</v>
      </c>
    </row>
    <row r="220" spans="1:14" ht="17" x14ac:dyDescent="0.35">
      <c r="A220" s="9">
        <v>106.95</v>
      </c>
      <c r="B220" s="11">
        <v>12.228</v>
      </c>
      <c r="C220" s="6">
        <v>1.8271999999999999</v>
      </c>
      <c r="D220" s="6">
        <v>0.54727999999999999</v>
      </c>
      <c r="E220" s="6">
        <v>1.7706</v>
      </c>
      <c r="F220" s="6">
        <v>2.4398</v>
      </c>
      <c r="G220" s="6">
        <v>136.53</v>
      </c>
      <c r="H220" s="6">
        <v>25.273</v>
      </c>
      <c r="I220" s="6">
        <v>51.188000000000002</v>
      </c>
      <c r="J220" s="6">
        <v>181.95</v>
      </c>
      <c r="K220" s="6">
        <v>1.5612999999999999</v>
      </c>
      <c r="L220" s="6">
        <v>8.2184000000000008</v>
      </c>
      <c r="M220" s="6">
        <v>1.2663000000000001E-2</v>
      </c>
      <c r="N220" s="6" t="s">
        <v>20</v>
      </c>
    </row>
    <row r="221" spans="1:14" ht="17" x14ac:dyDescent="0.35">
      <c r="A221" s="9">
        <v>107.03</v>
      </c>
      <c r="B221" s="11">
        <v>12.284000000000001</v>
      </c>
      <c r="C221" s="6">
        <v>1.8363</v>
      </c>
      <c r="D221" s="6">
        <v>0.54456000000000004</v>
      </c>
      <c r="E221" s="6">
        <v>1.7702</v>
      </c>
      <c r="F221" s="6">
        <v>2.4390999999999998</v>
      </c>
      <c r="G221" s="6">
        <v>136.5</v>
      </c>
      <c r="H221" s="6">
        <v>25.29</v>
      </c>
      <c r="I221" s="6">
        <v>51.323999999999998</v>
      </c>
      <c r="J221" s="6">
        <v>181.92</v>
      </c>
      <c r="K221" s="6">
        <v>1.5592999999999999</v>
      </c>
      <c r="L221" s="6">
        <v>8.2279</v>
      </c>
      <c r="M221" s="6">
        <v>1.2688E-2</v>
      </c>
      <c r="N221" s="6" t="s">
        <v>20</v>
      </c>
    </row>
    <row r="222" spans="1:14" ht="17" x14ac:dyDescent="0.35">
      <c r="A222" s="9">
        <v>107.1</v>
      </c>
      <c r="B222" s="11">
        <v>12.34</v>
      </c>
      <c r="C222" s="6">
        <v>1.8454999999999999</v>
      </c>
      <c r="D222" s="6">
        <v>0.54186999999999996</v>
      </c>
      <c r="E222" s="6">
        <v>1.7698</v>
      </c>
      <c r="F222" s="6">
        <v>2.4384999999999999</v>
      </c>
      <c r="G222" s="6">
        <v>136.46</v>
      </c>
      <c r="H222" s="6">
        <v>25.306999999999999</v>
      </c>
      <c r="I222" s="6">
        <v>51.460999999999999</v>
      </c>
      <c r="J222" s="6">
        <v>181.9</v>
      </c>
      <c r="K222" s="6">
        <v>1.5573999999999999</v>
      </c>
      <c r="L222" s="6">
        <v>8.2373999999999992</v>
      </c>
      <c r="M222" s="6">
        <v>1.2714E-2</v>
      </c>
      <c r="N222" s="6" t="s">
        <v>20</v>
      </c>
    </row>
    <row r="223" spans="1:14" ht="17" x14ac:dyDescent="0.35">
      <c r="A223" s="9">
        <v>107.18</v>
      </c>
      <c r="B223" s="11">
        <v>12.397</v>
      </c>
      <c r="C223" s="6">
        <v>1.8546</v>
      </c>
      <c r="D223" s="6">
        <v>0.53918999999999995</v>
      </c>
      <c r="E223" s="6">
        <v>1.7694000000000001</v>
      </c>
      <c r="F223" s="6">
        <v>2.4378000000000002</v>
      </c>
      <c r="G223" s="6">
        <v>136.43</v>
      </c>
      <c r="H223" s="6">
        <v>25.323</v>
      </c>
      <c r="I223" s="6">
        <v>51.597999999999999</v>
      </c>
      <c r="J223" s="6">
        <v>181.87</v>
      </c>
      <c r="K223" s="6">
        <v>1.5553999999999999</v>
      </c>
      <c r="L223" s="6">
        <v>8.2469000000000001</v>
      </c>
      <c r="M223" s="6">
        <v>1.274E-2</v>
      </c>
      <c r="N223" s="6" t="s">
        <v>20</v>
      </c>
    </row>
    <row r="224" spans="1:14" ht="17" x14ac:dyDescent="0.35">
      <c r="A224" s="9">
        <v>107.25</v>
      </c>
      <c r="B224" s="11">
        <v>12.452999999999999</v>
      </c>
      <c r="C224" s="6">
        <v>1.8637999999999999</v>
      </c>
      <c r="D224" s="6">
        <v>0.53654000000000002</v>
      </c>
      <c r="E224" s="6">
        <v>1.7689999999999999</v>
      </c>
      <c r="F224" s="6">
        <v>2.4371999999999998</v>
      </c>
      <c r="G224" s="6">
        <v>136.38999999999999</v>
      </c>
      <c r="H224" s="6">
        <v>25.34</v>
      </c>
      <c r="I224" s="6">
        <v>51.735999999999997</v>
      </c>
      <c r="J224" s="6">
        <v>181.85</v>
      </c>
      <c r="K224" s="6">
        <v>1.5533999999999999</v>
      </c>
      <c r="L224" s="6">
        <v>8.2563999999999993</v>
      </c>
      <c r="M224" s="6">
        <v>1.2766E-2</v>
      </c>
      <c r="N224" s="6" t="s">
        <v>20</v>
      </c>
    </row>
    <row r="225" spans="1:14" ht="17" x14ac:dyDescent="0.35">
      <c r="A225" s="9">
        <v>107.33</v>
      </c>
      <c r="B225" s="11">
        <v>12.509</v>
      </c>
      <c r="C225" s="6">
        <v>1.873</v>
      </c>
      <c r="D225" s="6">
        <v>0.53391</v>
      </c>
      <c r="E225" s="6">
        <v>1.7685999999999999</v>
      </c>
      <c r="F225" s="6">
        <v>2.4365000000000001</v>
      </c>
      <c r="G225" s="6">
        <v>136.36000000000001</v>
      </c>
      <c r="H225" s="6">
        <v>25.356999999999999</v>
      </c>
      <c r="I225" s="6">
        <v>51.875</v>
      </c>
      <c r="J225" s="6">
        <v>181.82</v>
      </c>
      <c r="K225" s="6">
        <v>1.5515000000000001</v>
      </c>
      <c r="L225" s="6">
        <v>8.2659000000000002</v>
      </c>
      <c r="M225" s="6">
        <v>1.2793000000000001E-2</v>
      </c>
      <c r="N225" s="6" t="s">
        <v>20</v>
      </c>
    </row>
    <row r="226" spans="1:14" ht="17" x14ac:dyDescent="0.35">
      <c r="A226" s="9">
        <v>107.4</v>
      </c>
      <c r="B226" s="11">
        <v>12.566000000000001</v>
      </c>
      <c r="C226" s="6">
        <v>1.8822000000000001</v>
      </c>
      <c r="D226" s="6">
        <v>0.53129999999999999</v>
      </c>
      <c r="E226" s="6">
        <v>1.7682</v>
      </c>
      <c r="F226" s="6">
        <v>2.4358</v>
      </c>
      <c r="G226" s="6">
        <v>136.32</v>
      </c>
      <c r="H226" s="6">
        <v>25.373000000000001</v>
      </c>
      <c r="I226" s="6">
        <v>52.014000000000003</v>
      </c>
      <c r="J226" s="6">
        <v>181.8</v>
      </c>
      <c r="K226" s="6">
        <v>1.5495000000000001</v>
      </c>
      <c r="L226" s="6">
        <v>8.2753999999999994</v>
      </c>
      <c r="M226" s="6">
        <v>1.2819000000000001E-2</v>
      </c>
      <c r="N226" s="6" t="s">
        <v>20</v>
      </c>
    </row>
    <row r="227" spans="1:14" ht="17" x14ac:dyDescent="0.35">
      <c r="A227" s="9">
        <v>107.47</v>
      </c>
      <c r="B227" s="11">
        <v>12.622</v>
      </c>
      <c r="C227" s="6">
        <v>1.8914</v>
      </c>
      <c r="D227" s="6">
        <v>0.52871999999999997</v>
      </c>
      <c r="E227" s="6">
        <v>1.7678</v>
      </c>
      <c r="F227" s="6">
        <v>2.4350999999999998</v>
      </c>
      <c r="G227" s="6">
        <v>136.29</v>
      </c>
      <c r="H227" s="6">
        <v>25.39</v>
      </c>
      <c r="I227" s="6">
        <v>52.155000000000001</v>
      </c>
      <c r="J227" s="6">
        <v>181.77</v>
      </c>
      <c r="K227" s="6">
        <v>1.5476000000000001</v>
      </c>
      <c r="L227" s="6">
        <v>8.2848000000000006</v>
      </c>
      <c r="M227" s="6">
        <v>1.2845000000000001E-2</v>
      </c>
      <c r="N227" s="6" t="s">
        <v>20</v>
      </c>
    </row>
    <row r="228" spans="1:14" ht="17" x14ac:dyDescent="0.35">
      <c r="A228" s="9">
        <v>107.55</v>
      </c>
      <c r="B228" s="11">
        <v>12.678000000000001</v>
      </c>
      <c r="C228" s="6">
        <v>1.9006000000000001</v>
      </c>
      <c r="D228" s="6">
        <v>0.52615000000000001</v>
      </c>
      <c r="E228" s="6">
        <v>1.7674000000000001</v>
      </c>
      <c r="F228" s="6">
        <v>2.4344000000000001</v>
      </c>
      <c r="G228" s="6">
        <v>136.25</v>
      </c>
      <c r="H228" s="6">
        <v>25.407</v>
      </c>
      <c r="I228" s="6">
        <v>52.295000000000002</v>
      </c>
      <c r="J228" s="6">
        <v>181.75</v>
      </c>
      <c r="K228" s="6">
        <v>1.5456000000000001</v>
      </c>
      <c r="L228" s="6">
        <v>8.2942999999999998</v>
      </c>
      <c r="M228" s="6">
        <v>1.2871E-2</v>
      </c>
      <c r="N228" s="6" t="s">
        <v>20</v>
      </c>
    </row>
    <row r="229" spans="1:14" ht="17" x14ac:dyDescent="0.35">
      <c r="A229" s="9">
        <v>107.62</v>
      </c>
      <c r="B229" s="11">
        <v>12.734</v>
      </c>
      <c r="C229" s="6">
        <v>1.9097999999999999</v>
      </c>
      <c r="D229" s="6">
        <v>0.52361000000000002</v>
      </c>
      <c r="E229" s="6">
        <v>1.7668999999999999</v>
      </c>
      <c r="F229" s="6">
        <v>2.4337</v>
      </c>
      <c r="G229" s="6">
        <v>136.22</v>
      </c>
      <c r="H229" s="6">
        <v>25.422999999999998</v>
      </c>
      <c r="I229" s="6">
        <v>52.436999999999998</v>
      </c>
      <c r="J229" s="6">
        <v>181.72</v>
      </c>
      <c r="K229" s="6">
        <v>1.5437000000000001</v>
      </c>
      <c r="L229" s="6">
        <v>8.3038000000000007</v>
      </c>
      <c r="M229" s="6">
        <v>1.2897E-2</v>
      </c>
      <c r="N229" s="6" t="s">
        <v>20</v>
      </c>
    </row>
    <row r="230" spans="1:14" ht="17" x14ac:dyDescent="0.35">
      <c r="A230" s="9">
        <v>107.69</v>
      </c>
      <c r="B230" s="11">
        <v>12.791</v>
      </c>
      <c r="C230" s="6">
        <v>1.9191</v>
      </c>
      <c r="D230" s="6">
        <v>0.52109000000000005</v>
      </c>
      <c r="E230" s="6">
        <v>1.7665</v>
      </c>
      <c r="F230" s="6">
        <v>2.4329999999999998</v>
      </c>
      <c r="G230" s="6">
        <v>136.19</v>
      </c>
      <c r="H230" s="6">
        <v>25.44</v>
      </c>
      <c r="I230" s="6">
        <v>52.579000000000001</v>
      </c>
      <c r="J230" s="6">
        <v>181.69</v>
      </c>
      <c r="K230" s="6">
        <v>1.5418000000000001</v>
      </c>
      <c r="L230" s="6">
        <v>8.3132000000000001</v>
      </c>
      <c r="M230" s="6">
        <v>1.2924E-2</v>
      </c>
      <c r="N230" s="6" t="s">
        <v>20</v>
      </c>
    </row>
    <row r="231" spans="1:14" ht="17" x14ac:dyDescent="0.35">
      <c r="A231" s="9">
        <v>107.77</v>
      </c>
      <c r="B231" s="11">
        <v>12.847</v>
      </c>
      <c r="C231" s="6">
        <v>1.9282999999999999</v>
      </c>
      <c r="D231" s="6">
        <v>0.51858000000000004</v>
      </c>
      <c r="E231" s="6">
        <v>1.766</v>
      </c>
      <c r="F231" s="6">
        <v>2.4323000000000001</v>
      </c>
      <c r="G231" s="6">
        <v>136.15</v>
      </c>
      <c r="H231" s="6">
        <v>25.457000000000001</v>
      </c>
      <c r="I231" s="6">
        <v>52.722000000000001</v>
      </c>
      <c r="J231" s="6">
        <v>181.67</v>
      </c>
      <c r="K231" s="6">
        <v>1.5399</v>
      </c>
      <c r="L231" s="6">
        <v>8.3226999999999993</v>
      </c>
      <c r="M231" s="6">
        <v>1.295E-2</v>
      </c>
      <c r="N231" s="6" t="s">
        <v>20</v>
      </c>
    </row>
    <row r="232" spans="1:14" ht="17" x14ac:dyDescent="0.35">
      <c r="A232" s="9">
        <v>107.84</v>
      </c>
      <c r="B232" s="11">
        <v>12.903</v>
      </c>
      <c r="C232" s="6">
        <v>1.9376</v>
      </c>
      <c r="D232" s="6">
        <v>0.5161</v>
      </c>
      <c r="E232" s="6">
        <v>1.7656000000000001</v>
      </c>
      <c r="F232" s="6">
        <v>2.4315000000000002</v>
      </c>
      <c r="G232" s="6">
        <v>136.12</v>
      </c>
      <c r="H232" s="6">
        <v>25.474</v>
      </c>
      <c r="I232" s="6">
        <v>52.866</v>
      </c>
      <c r="J232" s="6">
        <v>181.64</v>
      </c>
      <c r="K232" s="6">
        <v>1.538</v>
      </c>
      <c r="L232" s="6">
        <v>8.3322000000000003</v>
      </c>
      <c r="M232" s="6">
        <v>1.2977000000000001E-2</v>
      </c>
      <c r="N232" s="6" t="s">
        <v>20</v>
      </c>
    </row>
    <row r="233" spans="1:14" ht="17" x14ac:dyDescent="0.35">
      <c r="A233" s="9">
        <v>107.91</v>
      </c>
      <c r="B233" s="11">
        <v>12.96</v>
      </c>
      <c r="C233" s="6">
        <v>1.9469000000000001</v>
      </c>
      <c r="D233" s="6">
        <v>0.51363999999999999</v>
      </c>
      <c r="E233" s="6">
        <v>1.7650999999999999</v>
      </c>
      <c r="F233" s="6">
        <v>2.4308000000000001</v>
      </c>
      <c r="G233" s="6">
        <v>136.09</v>
      </c>
      <c r="H233" s="6">
        <v>25.49</v>
      </c>
      <c r="I233" s="6">
        <v>53.01</v>
      </c>
      <c r="J233" s="6">
        <v>181.62</v>
      </c>
      <c r="K233" s="6">
        <v>1.5361</v>
      </c>
      <c r="L233" s="6">
        <v>8.3415999999999997</v>
      </c>
      <c r="M233" s="6">
        <v>1.3003000000000001E-2</v>
      </c>
      <c r="N233" s="6" t="s">
        <v>20</v>
      </c>
    </row>
    <row r="234" spans="1:14" ht="17" x14ac:dyDescent="0.35">
      <c r="A234" s="9">
        <v>107.98</v>
      </c>
      <c r="B234" s="11">
        <v>13.016</v>
      </c>
      <c r="C234" s="6">
        <v>1.9561999999999999</v>
      </c>
      <c r="D234" s="6">
        <v>0.51119999999999999</v>
      </c>
      <c r="E234" s="6">
        <v>1.7646999999999999</v>
      </c>
      <c r="F234" s="6">
        <v>2.4300000000000002</v>
      </c>
      <c r="G234" s="6">
        <v>136.05000000000001</v>
      </c>
      <c r="H234" s="6">
        <v>25.507000000000001</v>
      </c>
      <c r="I234" s="6">
        <v>53.155000000000001</v>
      </c>
      <c r="J234" s="6">
        <v>181.59</v>
      </c>
      <c r="K234" s="6">
        <v>1.5342</v>
      </c>
      <c r="L234" s="6">
        <v>8.3510000000000009</v>
      </c>
      <c r="M234" s="6">
        <v>1.303E-2</v>
      </c>
      <c r="N234" s="6" t="s">
        <v>20</v>
      </c>
    </row>
    <row r="235" spans="1:14" ht="17" x14ac:dyDescent="0.35">
      <c r="A235" s="9">
        <v>108.06</v>
      </c>
      <c r="B235" s="11">
        <v>13.071999999999999</v>
      </c>
      <c r="C235" s="6">
        <v>1.9655</v>
      </c>
      <c r="D235" s="6">
        <v>0.50876999999999994</v>
      </c>
      <c r="E235" s="6">
        <v>1.7642</v>
      </c>
      <c r="F235" s="6">
        <v>2.4293</v>
      </c>
      <c r="G235" s="6">
        <v>136.02000000000001</v>
      </c>
      <c r="H235" s="6">
        <v>25.524000000000001</v>
      </c>
      <c r="I235" s="6">
        <v>53.301000000000002</v>
      </c>
      <c r="J235" s="6">
        <v>181.56</v>
      </c>
      <c r="K235" s="6">
        <v>1.5323</v>
      </c>
      <c r="L235" s="6">
        <v>8.3605</v>
      </c>
      <c r="M235" s="6">
        <v>1.3056999999999999E-2</v>
      </c>
      <c r="N235" s="6" t="s">
        <v>20</v>
      </c>
    </row>
    <row r="236" spans="1:14" ht="17" x14ac:dyDescent="0.35">
      <c r="A236" s="9">
        <v>108.13</v>
      </c>
      <c r="B236" s="11">
        <v>13.128</v>
      </c>
      <c r="C236" s="6">
        <v>1.9748000000000001</v>
      </c>
      <c r="D236" s="6">
        <v>0.50636999999999999</v>
      </c>
      <c r="E236" s="6">
        <v>1.7637</v>
      </c>
      <c r="F236" s="6">
        <v>2.4285000000000001</v>
      </c>
      <c r="G236" s="6">
        <v>135.97999999999999</v>
      </c>
      <c r="H236" s="6">
        <v>25.541</v>
      </c>
      <c r="I236" s="6">
        <v>53.448</v>
      </c>
      <c r="J236" s="6">
        <v>181.54</v>
      </c>
      <c r="K236" s="6">
        <v>1.5304</v>
      </c>
      <c r="L236" s="6">
        <v>8.3698999999999995</v>
      </c>
      <c r="M236" s="6">
        <v>1.3082999999999999E-2</v>
      </c>
      <c r="N236" s="6" t="s">
        <v>20</v>
      </c>
    </row>
    <row r="237" spans="1:14" ht="17" x14ac:dyDescent="0.35">
      <c r="A237" s="9">
        <v>108.2</v>
      </c>
      <c r="B237" s="11">
        <v>13.185</v>
      </c>
      <c r="C237" s="6">
        <v>1.9842</v>
      </c>
      <c r="D237" s="6">
        <v>0.50399000000000005</v>
      </c>
      <c r="E237" s="6">
        <v>1.7632000000000001</v>
      </c>
      <c r="F237" s="6">
        <v>2.4277000000000002</v>
      </c>
      <c r="G237" s="6">
        <v>135.94999999999999</v>
      </c>
      <c r="H237" s="6">
        <v>25.558</v>
      </c>
      <c r="I237" s="6">
        <v>53.594999999999999</v>
      </c>
      <c r="J237" s="6">
        <v>181.51</v>
      </c>
      <c r="K237" s="6">
        <v>1.5285</v>
      </c>
      <c r="L237" s="6">
        <v>8.3794000000000004</v>
      </c>
      <c r="M237" s="6">
        <v>1.311E-2</v>
      </c>
      <c r="N237" s="6" t="s">
        <v>20</v>
      </c>
    </row>
    <row r="238" spans="1:14" ht="17" x14ac:dyDescent="0.35">
      <c r="A238" s="9">
        <v>108.27</v>
      </c>
      <c r="B238" s="11">
        <v>13.241</v>
      </c>
      <c r="C238" s="6">
        <v>1.9935</v>
      </c>
      <c r="D238" s="6">
        <v>0.50161999999999995</v>
      </c>
      <c r="E238" s="6">
        <v>1.7626999999999999</v>
      </c>
      <c r="F238" s="6">
        <v>2.4268999999999998</v>
      </c>
      <c r="G238" s="6">
        <v>135.91999999999999</v>
      </c>
      <c r="H238" s="6">
        <v>25.574000000000002</v>
      </c>
      <c r="I238" s="6">
        <v>53.743000000000002</v>
      </c>
      <c r="J238" s="6">
        <v>181.48</v>
      </c>
      <c r="K238" s="6">
        <v>1.5266999999999999</v>
      </c>
      <c r="L238" s="6">
        <v>8.3887999999999998</v>
      </c>
      <c r="M238" s="6">
        <v>1.3136999999999999E-2</v>
      </c>
      <c r="N238" s="6" t="s">
        <v>20</v>
      </c>
    </row>
    <row r="239" spans="1:14" ht="17" x14ac:dyDescent="0.35">
      <c r="A239" s="9">
        <v>108.34</v>
      </c>
      <c r="B239" s="11">
        <v>13.297000000000001</v>
      </c>
      <c r="C239" s="6">
        <v>2.0028999999999999</v>
      </c>
      <c r="D239" s="6">
        <v>0.49928</v>
      </c>
      <c r="E239" s="6">
        <v>1.7622</v>
      </c>
      <c r="F239" s="6">
        <v>2.4262000000000001</v>
      </c>
      <c r="G239" s="6">
        <v>135.88</v>
      </c>
      <c r="H239" s="6">
        <v>25.591000000000001</v>
      </c>
      <c r="I239" s="6">
        <v>53.892000000000003</v>
      </c>
      <c r="J239" s="6">
        <v>181.45</v>
      </c>
      <c r="K239" s="6">
        <v>1.5247999999999999</v>
      </c>
      <c r="L239" s="6">
        <v>8.3981999999999992</v>
      </c>
      <c r="M239" s="6">
        <v>1.3164E-2</v>
      </c>
      <c r="N239" s="6" t="s">
        <v>20</v>
      </c>
    </row>
    <row r="240" spans="1:14" ht="17" x14ac:dyDescent="0.35">
      <c r="A240" s="9">
        <v>108.41</v>
      </c>
      <c r="B240" s="11">
        <v>13.353999999999999</v>
      </c>
      <c r="C240" s="6">
        <v>2.0123000000000002</v>
      </c>
      <c r="D240" s="6">
        <v>0.49695</v>
      </c>
      <c r="E240" s="6">
        <v>1.7617</v>
      </c>
      <c r="F240" s="6">
        <v>2.4253999999999998</v>
      </c>
      <c r="G240" s="6">
        <v>135.85</v>
      </c>
      <c r="H240" s="6">
        <v>25.608000000000001</v>
      </c>
      <c r="I240" s="6">
        <v>54.042000000000002</v>
      </c>
      <c r="J240" s="6">
        <v>181.43</v>
      </c>
      <c r="K240" s="6">
        <v>1.5228999999999999</v>
      </c>
      <c r="L240" s="6">
        <v>8.4077000000000002</v>
      </c>
      <c r="M240" s="6">
        <v>1.3191E-2</v>
      </c>
      <c r="N240" s="6" t="s">
        <v>20</v>
      </c>
    </row>
    <row r="241" spans="1:14" ht="17" x14ac:dyDescent="0.35">
      <c r="A241" s="9">
        <v>108.48</v>
      </c>
      <c r="B241" s="11">
        <v>13.41</v>
      </c>
      <c r="C241" s="6">
        <v>2.0217000000000001</v>
      </c>
      <c r="D241" s="6">
        <v>0.49464000000000002</v>
      </c>
      <c r="E241" s="6">
        <v>1.7612000000000001</v>
      </c>
      <c r="F241" s="6">
        <v>2.4245000000000001</v>
      </c>
      <c r="G241" s="6">
        <v>135.82</v>
      </c>
      <c r="H241" s="6">
        <v>25.625</v>
      </c>
      <c r="I241" s="6">
        <v>54.192999999999998</v>
      </c>
      <c r="J241" s="6">
        <v>181.4</v>
      </c>
      <c r="K241" s="6">
        <v>1.5210999999999999</v>
      </c>
      <c r="L241" s="6">
        <v>8.4170999999999996</v>
      </c>
      <c r="M241" s="6">
        <v>1.3218000000000001E-2</v>
      </c>
      <c r="N241" s="6" t="s">
        <v>20</v>
      </c>
    </row>
    <row r="242" spans="1:14" ht="17" x14ac:dyDescent="0.35">
      <c r="A242" s="9">
        <v>108.55</v>
      </c>
      <c r="B242" s="11">
        <v>13.465999999999999</v>
      </c>
      <c r="C242" s="6">
        <v>2.0310999999999999</v>
      </c>
      <c r="D242" s="6">
        <v>0.49235000000000001</v>
      </c>
      <c r="E242" s="6">
        <v>1.7606999999999999</v>
      </c>
      <c r="F242" s="6">
        <v>2.4237000000000002</v>
      </c>
      <c r="G242" s="6">
        <v>135.78</v>
      </c>
      <c r="H242" s="6">
        <v>25.641999999999999</v>
      </c>
      <c r="I242" s="6">
        <v>54.344000000000001</v>
      </c>
      <c r="J242" s="6">
        <v>181.37</v>
      </c>
      <c r="K242" s="6">
        <v>1.5192000000000001</v>
      </c>
      <c r="L242" s="6">
        <v>8.4265000000000008</v>
      </c>
      <c r="M242" s="6">
        <v>1.3245E-2</v>
      </c>
      <c r="N242" s="6" t="s">
        <v>20</v>
      </c>
    </row>
    <row r="243" spans="1:14" ht="17" x14ac:dyDescent="0.35">
      <c r="A243" s="9">
        <v>108.62</v>
      </c>
      <c r="B243" s="11">
        <v>13.523</v>
      </c>
      <c r="C243" s="6">
        <v>2.0405000000000002</v>
      </c>
      <c r="D243" s="6">
        <v>0.49007000000000001</v>
      </c>
      <c r="E243" s="6">
        <v>1.7602</v>
      </c>
      <c r="F243" s="6">
        <v>2.4228999999999998</v>
      </c>
      <c r="G243" s="6">
        <v>135.75</v>
      </c>
      <c r="H243" s="6">
        <v>25.658999999999999</v>
      </c>
      <c r="I243" s="6">
        <v>54.497</v>
      </c>
      <c r="J243" s="6">
        <v>181.34</v>
      </c>
      <c r="K243" s="6">
        <v>1.5174000000000001</v>
      </c>
      <c r="L243" s="6">
        <v>8.4359000000000002</v>
      </c>
      <c r="M243" s="6">
        <v>1.3272000000000001E-2</v>
      </c>
      <c r="N243" s="6" t="s">
        <v>20</v>
      </c>
    </row>
    <row r="244" spans="1:14" ht="17" x14ac:dyDescent="0.35">
      <c r="A244" s="9">
        <v>108.69</v>
      </c>
      <c r="B244" s="11">
        <v>13.579000000000001</v>
      </c>
      <c r="C244" s="6">
        <v>2.0499999999999998</v>
      </c>
      <c r="D244" s="6">
        <v>0.48781000000000002</v>
      </c>
      <c r="E244" s="6">
        <v>1.7597</v>
      </c>
      <c r="F244" s="6">
        <v>2.4220999999999999</v>
      </c>
      <c r="G244" s="6">
        <v>135.72</v>
      </c>
      <c r="H244" s="6">
        <v>25.675999999999998</v>
      </c>
      <c r="I244" s="6">
        <v>54.65</v>
      </c>
      <c r="J244" s="6">
        <v>181.32</v>
      </c>
      <c r="K244" s="6">
        <v>1.5155000000000001</v>
      </c>
      <c r="L244" s="6">
        <v>8.4453999999999994</v>
      </c>
      <c r="M244" s="6">
        <v>1.3299E-2</v>
      </c>
      <c r="N244" s="6" t="s">
        <v>20</v>
      </c>
    </row>
    <row r="245" spans="1:14" ht="17" x14ac:dyDescent="0.35">
      <c r="A245" s="9">
        <v>108.76</v>
      </c>
      <c r="B245" s="11">
        <v>13.635</v>
      </c>
      <c r="C245" s="6">
        <v>2.0594000000000001</v>
      </c>
      <c r="D245" s="6">
        <v>0.48557</v>
      </c>
      <c r="E245" s="6">
        <v>1.7591000000000001</v>
      </c>
      <c r="F245" s="6">
        <v>2.4211999999999998</v>
      </c>
      <c r="G245" s="6">
        <v>135.69</v>
      </c>
      <c r="H245" s="6">
        <v>25.693000000000001</v>
      </c>
      <c r="I245" s="6">
        <v>54.804000000000002</v>
      </c>
      <c r="J245" s="6">
        <v>181.29</v>
      </c>
      <c r="K245" s="6">
        <v>1.5137</v>
      </c>
      <c r="L245" s="6">
        <v>8.4548000000000005</v>
      </c>
      <c r="M245" s="6">
        <v>1.3325999999999999E-2</v>
      </c>
      <c r="N245" s="6" t="s">
        <v>20</v>
      </c>
    </row>
    <row r="246" spans="1:14" ht="17" x14ac:dyDescent="0.35">
      <c r="A246" s="9">
        <v>108.83</v>
      </c>
      <c r="B246" s="11">
        <v>13.691000000000001</v>
      </c>
      <c r="C246" s="6">
        <v>2.0689000000000002</v>
      </c>
      <c r="D246" s="6">
        <v>0.48335</v>
      </c>
      <c r="E246" s="6">
        <v>1.7585999999999999</v>
      </c>
      <c r="F246" s="6">
        <v>2.4203999999999999</v>
      </c>
      <c r="G246" s="6">
        <v>135.65</v>
      </c>
      <c r="H246" s="6">
        <v>25.71</v>
      </c>
      <c r="I246" s="6">
        <v>54.957999999999998</v>
      </c>
      <c r="J246" s="6">
        <v>181.26</v>
      </c>
      <c r="K246" s="6">
        <v>1.5119</v>
      </c>
      <c r="L246" s="6">
        <v>8.4641999999999999</v>
      </c>
      <c r="M246" s="6">
        <v>1.3354E-2</v>
      </c>
      <c r="N246" s="6" t="s">
        <v>20</v>
      </c>
    </row>
    <row r="247" spans="1:14" ht="17" x14ac:dyDescent="0.35">
      <c r="A247" s="9">
        <v>108.9</v>
      </c>
      <c r="B247" s="11">
        <v>13.747999999999999</v>
      </c>
      <c r="C247" s="6">
        <v>2.0783999999999998</v>
      </c>
      <c r="D247" s="6">
        <v>0.48115000000000002</v>
      </c>
      <c r="E247" s="6">
        <v>1.7581</v>
      </c>
      <c r="F247" s="6">
        <v>2.4195000000000002</v>
      </c>
      <c r="G247" s="6">
        <v>135.62</v>
      </c>
      <c r="H247" s="6">
        <v>25.727</v>
      </c>
      <c r="I247" s="6">
        <v>55.113999999999997</v>
      </c>
      <c r="J247" s="6">
        <v>181.23</v>
      </c>
      <c r="K247" s="6">
        <v>1.5101</v>
      </c>
      <c r="L247" s="6">
        <v>8.4735999999999994</v>
      </c>
      <c r="M247" s="6">
        <v>1.3381000000000001E-2</v>
      </c>
      <c r="N247" s="6" t="s">
        <v>20</v>
      </c>
    </row>
    <row r="248" spans="1:14" ht="17" x14ac:dyDescent="0.35">
      <c r="A248" s="9">
        <v>108.97</v>
      </c>
      <c r="B248" s="11">
        <v>13.804</v>
      </c>
      <c r="C248" s="6">
        <v>2.0878999999999999</v>
      </c>
      <c r="D248" s="6">
        <v>0.47896</v>
      </c>
      <c r="E248" s="6">
        <v>1.7575000000000001</v>
      </c>
      <c r="F248" s="6">
        <v>2.4186999999999999</v>
      </c>
      <c r="G248" s="6">
        <v>135.59</v>
      </c>
      <c r="H248" s="6">
        <v>25.744</v>
      </c>
      <c r="I248" s="6">
        <v>55.27</v>
      </c>
      <c r="J248" s="6">
        <v>181.2</v>
      </c>
      <c r="K248" s="6">
        <v>1.5082</v>
      </c>
      <c r="L248" s="6">
        <v>8.4830000000000005</v>
      </c>
      <c r="M248" s="6">
        <v>1.3409000000000001E-2</v>
      </c>
      <c r="N248" s="6" t="s">
        <v>20</v>
      </c>
    </row>
    <row r="249" spans="1:14" ht="17" x14ac:dyDescent="0.35">
      <c r="A249" s="9">
        <v>109.04</v>
      </c>
      <c r="B249" s="11">
        <v>13.86</v>
      </c>
      <c r="C249" s="6">
        <v>2.0973999999999999</v>
      </c>
      <c r="D249" s="6">
        <v>0.47677999999999998</v>
      </c>
      <c r="E249" s="6">
        <v>1.7568999999999999</v>
      </c>
      <c r="F249" s="6">
        <v>2.4178000000000002</v>
      </c>
      <c r="G249" s="6">
        <v>135.55000000000001</v>
      </c>
      <c r="H249" s="6">
        <v>25.760999999999999</v>
      </c>
      <c r="I249" s="6">
        <v>55.427999999999997</v>
      </c>
      <c r="J249" s="6">
        <v>181.18</v>
      </c>
      <c r="K249" s="6">
        <v>1.5064</v>
      </c>
      <c r="L249" s="6">
        <v>8.4924999999999997</v>
      </c>
      <c r="M249" s="6">
        <v>1.3436E-2</v>
      </c>
      <c r="N249" s="6" t="s">
        <v>20</v>
      </c>
    </row>
    <row r="250" spans="1:14" ht="17" x14ac:dyDescent="0.35">
      <c r="A250" s="9">
        <v>109.11</v>
      </c>
      <c r="B250" s="11">
        <v>13.917</v>
      </c>
      <c r="C250" s="6">
        <v>2.1069</v>
      </c>
      <c r="D250" s="6">
        <v>0.47463</v>
      </c>
      <c r="E250" s="6">
        <v>1.7564</v>
      </c>
      <c r="F250" s="6">
        <v>2.4169</v>
      </c>
      <c r="G250" s="6">
        <v>135.52000000000001</v>
      </c>
      <c r="H250" s="6">
        <v>25.777999999999999</v>
      </c>
      <c r="I250" s="6">
        <v>55.585999999999999</v>
      </c>
      <c r="J250" s="6">
        <v>181.15</v>
      </c>
      <c r="K250" s="6">
        <v>1.5045999999999999</v>
      </c>
      <c r="L250" s="6">
        <v>8.5018999999999991</v>
      </c>
      <c r="M250" s="6">
        <v>1.3464E-2</v>
      </c>
      <c r="N250" s="6" t="s">
        <v>20</v>
      </c>
    </row>
    <row r="251" spans="1:14" ht="17" x14ac:dyDescent="0.35">
      <c r="A251" s="9">
        <v>109.18</v>
      </c>
      <c r="B251" s="11">
        <v>13.973000000000001</v>
      </c>
      <c r="C251" s="6">
        <v>2.1164999999999998</v>
      </c>
      <c r="D251" s="6">
        <v>0.47249000000000002</v>
      </c>
      <c r="E251" s="6">
        <v>1.7558</v>
      </c>
      <c r="F251" s="6">
        <v>2.4159999999999999</v>
      </c>
      <c r="G251" s="6">
        <v>135.49</v>
      </c>
      <c r="H251" s="6">
        <v>25.795000000000002</v>
      </c>
      <c r="I251" s="6">
        <v>55.744999999999997</v>
      </c>
      <c r="J251" s="6">
        <v>181.12</v>
      </c>
      <c r="K251" s="6">
        <v>1.5027999999999999</v>
      </c>
      <c r="L251" s="6">
        <v>8.5113000000000003</v>
      </c>
      <c r="M251" s="6">
        <v>1.3491E-2</v>
      </c>
      <c r="N251" s="6" t="s">
        <v>20</v>
      </c>
    </row>
    <row r="252" spans="1:14" ht="17" x14ac:dyDescent="0.35">
      <c r="A252" s="9">
        <v>109.25</v>
      </c>
      <c r="B252" s="11">
        <v>14.029</v>
      </c>
      <c r="C252" s="6">
        <v>2.1259999999999999</v>
      </c>
      <c r="D252" s="6">
        <v>0.47036</v>
      </c>
      <c r="E252" s="6">
        <v>1.7552000000000001</v>
      </c>
      <c r="F252" s="6">
        <v>2.4150999999999998</v>
      </c>
      <c r="G252" s="6">
        <v>135.46</v>
      </c>
      <c r="H252" s="6">
        <v>25.812000000000001</v>
      </c>
      <c r="I252" s="6">
        <v>55.905000000000001</v>
      </c>
      <c r="J252" s="6">
        <v>181.09</v>
      </c>
      <c r="K252" s="6">
        <v>1.5009999999999999</v>
      </c>
      <c r="L252" s="6">
        <v>8.5206999999999997</v>
      </c>
      <c r="M252" s="6">
        <v>1.3519E-2</v>
      </c>
      <c r="N252" s="6" t="s">
        <v>20</v>
      </c>
    </row>
    <row r="253" spans="1:14" ht="17" x14ac:dyDescent="0.35">
      <c r="A253" s="9">
        <v>109.32</v>
      </c>
      <c r="B253" s="11">
        <v>14.085000000000001</v>
      </c>
      <c r="C253" s="6">
        <v>2.1356000000000002</v>
      </c>
      <c r="D253" s="6">
        <v>0.46825</v>
      </c>
      <c r="E253" s="6">
        <v>1.7546999999999999</v>
      </c>
      <c r="F253" s="6">
        <v>2.4142000000000001</v>
      </c>
      <c r="G253" s="6">
        <v>135.41999999999999</v>
      </c>
      <c r="H253" s="6">
        <v>25.829000000000001</v>
      </c>
      <c r="I253" s="6">
        <v>56.066000000000003</v>
      </c>
      <c r="J253" s="6">
        <v>181.06</v>
      </c>
      <c r="K253" s="6">
        <v>1.4992000000000001</v>
      </c>
      <c r="L253" s="6">
        <v>8.5300999999999991</v>
      </c>
      <c r="M253" s="6">
        <v>1.3547E-2</v>
      </c>
      <c r="N253" s="6" t="s">
        <v>20</v>
      </c>
    </row>
    <row r="254" spans="1:14" ht="17" x14ac:dyDescent="0.35">
      <c r="A254" s="9">
        <v>109.38</v>
      </c>
      <c r="B254" s="11">
        <v>14.141999999999999</v>
      </c>
      <c r="C254" s="6">
        <v>2.1452</v>
      </c>
      <c r="D254" s="6">
        <v>0.46616000000000002</v>
      </c>
      <c r="E254" s="6">
        <v>1.7541</v>
      </c>
      <c r="F254" s="6">
        <v>2.4133</v>
      </c>
      <c r="G254" s="6">
        <v>135.38999999999999</v>
      </c>
      <c r="H254" s="6">
        <v>25.847000000000001</v>
      </c>
      <c r="I254" s="6">
        <v>56.228000000000002</v>
      </c>
      <c r="J254" s="6">
        <v>181.03</v>
      </c>
      <c r="K254" s="6">
        <v>1.4974000000000001</v>
      </c>
      <c r="L254" s="6">
        <v>8.5396000000000001</v>
      </c>
      <c r="M254" s="6">
        <v>1.3575E-2</v>
      </c>
      <c r="N254" s="6" t="s">
        <v>20</v>
      </c>
    </row>
    <row r="255" spans="1:14" ht="17" x14ac:dyDescent="0.35">
      <c r="A255" s="9">
        <v>109.45</v>
      </c>
      <c r="B255" s="11">
        <v>14.198</v>
      </c>
      <c r="C255" s="6">
        <v>2.1547999999999998</v>
      </c>
      <c r="D255" s="6">
        <v>0.46407999999999999</v>
      </c>
      <c r="E255" s="6">
        <v>1.7535000000000001</v>
      </c>
      <c r="F255" s="6">
        <v>2.4123999999999999</v>
      </c>
      <c r="G255" s="6">
        <v>135.36000000000001</v>
      </c>
      <c r="H255" s="6">
        <v>25.864000000000001</v>
      </c>
      <c r="I255" s="6">
        <v>56.390999999999998</v>
      </c>
      <c r="J255" s="6">
        <v>181</v>
      </c>
      <c r="K255" s="6">
        <v>1.4956</v>
      </c>
      <c r="L255" s="6">
        <v>8.5489999999999995</v>
      </c>
      <c r="M255" s="6">
        <v>1.3603000000000001E-2</v>
      </c>
      <c r="N255" s="6" t="s">
        <v>20</v>
      </c>
    </row>
    <row r="256" spans="1:14" ht="17" x14ac:dyDescent="0.35">
      <c r="A256" s="9">
        <v>109.52</v>
      </c>
      <c r="B256" s="11">
        <v>14.254</v>
      </c>
      <c r="C256" s="6">
        <v>2.1644000000000001</v>
      </c>
      <c r="D256" s="6">
        <v>0.46201999999999999</v>
      </c>
      <c r="E256" s="6">
        <v>1.7528999999999999</v>
      </c>
      <c r="F256" s="6">
        <v>2.4114</v>
      </c>
      <c r="G256" s="6">
        <v>135.33000000000001</v>
      </c>
      <c r="H256" s="6">
        <v>25.881</v>
      </c>
      <c r="I256" s="6">
        <v>56.555</v>
      </c>
      <c r="J256" s="6">
        <v>180.97</v>
      </c>
      <c r="K256" s="6">
        <v>1.4939</v>
      </c>
      <c r="L256" s="6">
        <v>8.5584000000000007</v>
      </c>
      <c r="M256" s="6">
        <v>1.3631000000000001E-2</v>
      </c>
      <c r="N256" s="6" t="s">
        <v>20</v>
      </c>
    </row>
    <row r="257" spans="1:14" ht="17" x14ac:dyDescent="0.35">
      <c r="A257" s="9">
        <v>109.59</v>
      </c>
      <c r="B257" s="11">
        <v>14.311</v>
      </c>
      <c r="C257" s="6">
        <v>2.1739999999999999</v>
      </c>
      <c r="D257" s="6">
        <v>0.45996999999999999</v>
      </c>
      <c r="E257" s="6">
        <v>1.7523</v>
      </c>
      <c r="F257" s="6">
        <v>2.4104999999999999</v>
      </c>
      <c r="G257" s="6">
        <v>135.30000000000001</v>
      </c>
      <c r="H257" s="6">
        <v>25.898</v>
      </c>
      <c r="I257" s="6">
        <v>56.72</v>
      </c>
      <c r="J257" s="6">
        <v>180.94</v>
      </c>
      <c r="K257" s="6">
        <v>1.4921</v>
      </c>
      <c r="L257" s="6">
        <v>8.5678000000000001</v>
      </c>
      <c r="M257" s="6">
        <v>1.3658999999999999E-2</v>
      </c>
      <c r="N257" s="6" t="s">
        <v>20</v>
      </c>
    </row>
    <row r="258" spans="1:14" ht="17" x14ac:dyDescent="0.35">
      <c r="A258" s="9">
        <v>109.65</v>
      </c>
      <c r="B258" s="11">
        <v>14.367000000000001</v>
      </c>
      <c r="C258" s="6">
        <v>2.1837</v>
      </c>
      <c r="D258" s="6">
        <v>0.45794000000000001</v>
      </c>
      <c r="E258" s="6">
        <v>1.7516</v>
      </c>
      <c r="F258" s="6">
        <v>2.4096000000000002</v>
      </c>
      <c r="G258" s="6">
        <v>135.26</v>
      </c>
      <c r="H258" s="6">
        <v>25.916</v>
      </c>
      <c r="I258" s="6">
        <v>56.884999999999998</v>
      </c>
      <c r="J258" s="6">
        <v>180.92</v>
      </c>
      <c r="K258" s="6">
        <v>1.4903</v>
      </c>
      <c r="L258" s="6">
        <v>8.5771999999999995</v>
      </c>
      <c r="M258" s="6">
        <v>1.3687E-2</v>
      </c>
      <c r="N258" s="6" t="s">
        <v>20</v>
      </c>
    </row>
    <row r="259" spans="1:14" ht="17" x14ac:dyDescent="0.35">
      <c r="A259" s="9">
        <v>109.72</v>
      </c>
      <c r="B259" s="11">
        <v>14.423</v>
      </c>
      <c r="C259" s="6">
        <v>2.1934</v>
      </c>
      <c r="D259" s="6">
        <v>0.45591999999999999</v>
      </c>
      <c r="E259" s="6">
        <v>1.7509999999999999</v>
      </c>
      <c r="F259" s="6">
        <v>2.4085999999999999</v>
      </c>
      <c r="G259" s="6">
        <v>135.22999999999999</v>
      </c>
      <c r="H259" s="6">
        <v>25.933</v>
      </c>
      <c r="I259" s="6">
        <v>57.052</v>
      </c>
      <c r="J259" s="6">
        <v>180.89</v>
      </c>
      <c r="K259" s="6">
        <v>1.4884999999999999</v>
      </c>
      <c r="L259" s="6">
        <v>8.5866000000000007</v>
      </c>
      <c r="M259" s="6">
        <v>1.3715E-2</v>
      </c>
      <c r="N259" s="6" t="s">
        <v>20</v>
      </c>
    </row>
    <row r="260" spans="1:14" ht="17" x14ac:dyDescent="0.35">
      <c r="A260" s="9">
        <v>109.79</v>
      </c>
      <c r="B260" s="11">
        <v>14.478999999999999</v>
      </c>
      <c r="C260" s="6">
        <v>2.2031000000000001</v>
      </c>
      <c r="D260" s="6">
        <v>0.45391999999999999</v>
      </c>
      <c r="E260" s="6">
        <v>1.7504</v>
      </c>
      <c r="F260" s="6">
        <v>2.4076</v>
      </c>
      <c r="G260" s="6">
        <v>135.19999999999999</v>
      </c>
      <c r="H260" s="6">
        <v>25.951000000000001</v>
      </c>
      <c r="I260" s="6">
        <v>57.22</v>
      </c>
      <c r="J260" s="6">
        <v>180.86</v>
      </c>
      <c r="K260" s="6">
        <v>1.4867999999999999</v>
      </c>
      <c r="L260" s="6">
        <v>8.5960999999999999</v>
      </c>
      <c r="M260" s="6">
        <v>1.3743E-2</v>
      </c>
      <c r="N260" s="6" t="s">
        <v>20</v>
      </c>
    </row>
    <row r="261" spans="1:14" ht="17" x14ac:dyDescent="0.35">
      <c r="A261" s="9">
        <v>109.86</v>
      </c>
      <c r="B261" s="11">
        <v>14.536</v>
      </c>
      <c r="C261" s="6">
        <v>2.2128000000000001</v>
      </c>
      <c r="D261" s="6">
        <v>0.45193</v>
      </c>
      <c r="E261" s="6">
        <v>1.7498</v>
      </c>
      <c r="F261" s="6">
        <v>2.4066999999999998</v>
      </c>
      <c r="G261" s="6">
        <v>135.16999999999999</v>
      </c>
      <c r="H261" s="6">
        <v>25.968</v>
      </c>
      <c r="I261" s="6">
        <v>57.387999999999998</v>
      </c>
      <c r="J261" s="6">
        <v>180.83</v>
      </c>
      <c r="K261" s="6">
        <v>1.4850000000000001</v>
      </c>
      <c r="L261" s="6">
        <v>8.6054999999999993</v>
      </c>
      <c r="M261" s="6">
        <v>1.3772E-2</v>
      </c>
      <c r="N261" s="6" t="s">
        <v>20</v>
      </c>
    </row>
    <row r="262" spans="1:14" ht="17" x14ac:dyDescent="0.35">
      <c r="A262" s="9">
        <v>109.92</v>
      </c>
      <c r="B262" s="11">
        <v>14.592000000000001</v>
      </c>
      <c r="C262" s="6">
        <v>2.2225000000000001</v>
      </c>
      <c r="D262" s="6">
        <v>0.44995000000000002</v>
      </c>
      <c r="E262" s="6">
        <v>1.7491000000000001</v>
      </c>
      <c r="F262" s="6">
        <v>2.4056999999999999</v>
      </c>
      <c r="G262" s="6">
        <v>135.13</v>
      </c>
      <c r="H262" s="6">
        <v>25.986000000000001</v>
      </c>
      <c r="I262" s="6">
        <v>57.558</v>
      </c>
      <c r="J262" s="6">
        <v>180.8</v>
      </c>
      <c r="K262" s="6">
        <v>1.4833000000000001</v>
      </c>
      <c r="L262" s="6">
        <v>8.6149000000000004</v>
      </c>
      <c r="M262" s="6">
        <v>1.38E-2</v>
      </c>
      <c r="N262" s="6" t="s">
        <v>20</v>
      </c>
    </row>
    <row r="263" spans="1:14" ht="17" x14ac:dyDescent="0.35">
      <c r="A263" s="9">
        <v>109.99</v>
      </c>
      <c r="B263" s="11">
        <v>14.648</v>
      </c>
      <c r="C263" s="6">
        <v>2.2322000000000002</v>
      </c>
      <c r="D263" s="6">
        <v>0.44799</v>
      </c>
      <c r="E263" s="6">
        <v>1.7484999999999999</v>
      </c>
      <c r="F263" s="6">
        <v>2.4047000000000001</v>
      </c>
      <c r="G263" s="6">
        <v>135.1</v>
      </c>
      <c r="H263" s="6">
        <v>26.003</v>
      </c>
      <c r="I263" s="6">
        <v>57.728999999999999</v>
      </c>
      <c r="J263" s="6">
        <v>180.77</v>
      </c>
      <c r="K263" s="6">
        <v>1.4815</v>
      </c>
      <c r="L263" s="6">
        <v>8.6242999999999999</v>
      </c>
      <c r="M263" s="6">
        <v>1.3828999999999999E-2</v>
      </c>
      <c r="N263" s="6" t="s">
        <v>20</v>
      </c>
    </row>
    <row r="264" spans="1:14" ht="17" x14ac:dyDescent="0.35">
      <c r="A264" s="9">
        <v>110.05</v>
      </c>
      <c r="B264" s="11">
        <v>14.705</v>
      </c>
      <c r="C264" s="6">
        <v>2.2418999999999998</v>
      </c>
      <c r="D264" s="6">
        <v>0.44603999999999999</v>
      </c>
      <c r="E264" s="6">
        <v>1.7478</v>
      </c>
      <c r="F264" s="6">
        <v>2.4037000000000002</v>
      </c>
      <c r="G264" s="6">
        <v>135.07</v>
      </c>
      <c r="H264" s="6">
        <v>26.021000000000001</v>
      </c>
      <c r="I264" s="6">
        <v>57.9</v>
      </c>
      <c r="J264" s="6">
        <v>180.74</v>
      </c>
      <c r="K264" s="6">
        <v>1.4798</v>
      </c>
      <c r="L264" s="6">
        <v>8.6338000000000008</v>
      </c>
      <c r="M264" s="6">
        <v>1.3857E-2</v>
      </c>
      <c r="N264" s="6" t="s">
        <v>20</v>
      </c>
    </row>
    <row r="265" spans="1:14" ht="17" x14ac:dyDescent="0.35">
      <c r="A265" s="9">
        <v>110.12</v>
      </c>
      <c r="B265" s="11">
        <v>14.760999999999999</v>
      </c>
      <c r="C265" s="6">
        <v>2.2517</v>
      </c>
      <c r="D265" s="6">
        <v>0.44411</v>
      </c>
      <c r="E265" s="6">
        <v>1.7472000000000001</v>
      </c>
      <c r="F265" s="6">
        <v>2.4026999999999998</v>
      </c>
      <c r="G265" s="6">
        <v>135.04</v>
      </c>
      <c r="H265" s="6">
        <v>26.039000000000001</v>
      </c>
      <c r="I265" s="6">
        <v>58.073</v>
      </c>
      <c r="J265" s="6">
        <v>180.71</v>
      </c>
      <c r="K265" s="6">
        <v>1.478</v>
      </c>
      <c r="L265" s="6">
        <v>8.6432000000000002</v>
      </c>
      <c r="M265" s="6">
        <v>1.3886000000000001E-2</v>
      </c>
      <c r="N265" s="6" t="s">
        <v>20</v>
      </c>
    </row>
    <row r="266" spans="1:14" ht="17" x14ac:dyDescent="0.35">
      <c r="A266" s="9">
        <v>110.19</v>
      </c>
      <c r="B266" s="11">
        <v>14.817</v>
      </c>
      <c r="C266" s="6">
        <v>2.2614999999999998</v>
      </c>
      <c r="D266" s="6">
        <v>0.44219000000000003</v>
      </c>
      <c r="E266" s="6">
        <v>1.7464999999999999</v>
      </c>
      <c r="F266" s="6">
        <v>2.4016999999999999</v>
      </c>
      <c r="G266" s="6">
        <v>135.01</v>
      </c>
      <c r="H266" s="6">
        <v>26.056000000000001</v>
      </c>
      <c r="I266" s="6">
        <v>58.247</v>
      </c>
      <c r="J266" s="6">
        <v>180.67</v>
      </c>
      <c r="K266" s="6">
        <v>1.4762999999999999</v>
      </c>
      <c r="L266" s="6">
        <v>8.6525999999999996</v>
      </c>
      <c r="M266" s="6">
        <v>1.3915E-2</v>
      </c>
      <c r="N266" s="6" t="s">
        <v>20</v>
      </c>
    </row>
    <row r="267" spans="1:14" ht="17" x14ac:dyDescent="0.35">
      <c r="A267" s="9">
        <v>110.25</v>
      </c>
      <c r="B267" s="11">
        <v>14.874000000000001</v>
      </c>
      <c r="C267" s="6">
        <v>2.2713000000000001</v>
      </c>
      <c r="D267" s="6">
        <v>0.44028</v>
      </c>
      <c r="E267" s="6">
        <v>1.7459</v>
      </c>
      <c r="F267" s="6">
        <v>2.4007000000000001</v>
      </c>
      <c r="G267" s="6">
        <v>134.97999999999999</v>
      </c>
      <c r="H267" s="6">
        <v>26.074000000000002</v>
      </c>
      <c r="I267" s="6">
        <v>58.421999999999997</v>
      </c>
      <c r="J267" s="6">
        <v>180.64</v>
      </c>
      <c r="K267" s="6">
        <v>1.4744999999999999</v>
      </c>
      <c r="L267" s="6">
        <v>8.6621000000000006</v>
      </c>
      <c r="M267" s="6">
        <v>1.3944E-2</v>
      </c>
      <c r="N267" s="6" t="s">
        <v>20</v>
      </c>
    </row>
    <row r="268" spans="1:14" ht="17" x14ac:dyDescent="0.35">
      <c r="A268" s="9">
        <v>110.32</v>
      </c>
      <c r="B268" s="11">
        <v>14.93</v>
      </c>
      <c r="C268" s="6">
        <v>2.2810999999999999</v>
      </c>
      <c r="D268" s="6">
        <v>0.43839</v>
      </c>
      <c r="E268" s="6">
        <v>1.7452000000000001</v>
      </c>
      <c r="F268" s="6">
        <v>2.3997000000000002</v>
      </c>
      <c r="G268" s="6">
        <v>134.94</v>
      </c>
      <c r="H268" s="6">
        <v>26.091999999999999</v>
      </c>
      <c r="I268" s="6">
        <v>58.597999999999999</v>
      </c>
      <c r="J268" s="6">
        <v>180.61</v>
      </c>
      <c r="K268" s="6">
        <v>1.4728000000000001</v>
      </c>
      <c r="L268" s="6">
        <v>8.6715</v>
      </c>
      <c r="M268" s="6">
        <v>1.3972999999999999E-2</v>
      </c>
      <c r="N268" s="6" t="s">
        <v>20</v>
      </c>
    </row>
    <row r="269" spans="1:14" ht="17" x14ac:dyDescent="0.35">
      <c r="A269" s="9">
        <v>110.38</v>
      </c>
      <c r="B269" s="11">
        <v>14.986000000000001</v>
      </c>
      <c r="C269" s="6">
        <v>2.2909000000000002</v>
      </c>
      <c r="D269" s="6">
        <v>0.4365</v>
      </c>
      <c r="E269" s="6">
        <v>1.7444999999999999</v>
      </c>
      <c r="F269" s="6">
        <v>2.3986000000000001</v>
      </c>
      <c r="G269" s="6">
        <v>134.91</v>
      </c>
      <c r="H269" s="6">
        <v>26.11</v>
      </c>
      <c r="I269" s="6">
        <v>58.774999999999999</v>
      </c>
      <c r="J269" s="6">
        <v>180.58</v>
      </c>
      <c r="K269" s="6">
        <v>1.4711000000000001</v>
      </c>
      <c r="L269" s="6">
        <v>8.6809999999999992</v>
      </c>
      <c r="M269" s="6">
        <v>1.4002000000000001E-2</v>
      </c>
      <c r="N269" s="6" t="s">
        <v>20</v>
      </c>
    </row>
    <row r="270" spans="1:14" ht="17" x14ac:dyDescent="0.35">
      <c r="A270" s="9">
        <v>110.45</v>
      </c>
      <c r="B270" s="11">
        <v>15.042</v>
      </c>
      <c r="C270" s="6">
        <v>2.3008000000000002</v>
      </c>
      <c r="D270" s="6">
        <v>0.43464000000000003</v>
      </c>
      <c r="E270" s="6">
        <v>1.7438</v>
      </c>
      <c r="F270" s="6">
        <v>2.3976000000000002</v>
      </c>
      <c r="G270" s="6">
        <v>134.88</v>
      </c>
      <c r="H270" s="6">
        <v>26.128</v>
      </c>
      <c r="I270" s="6">
        <v>58.953000000000003</v>
      </c>
      <c r="J270" s="6">
        <v>180.55</v>
      </c>
      <c r="K270" s="6">
        <v>1.4693000000000001</v>
      </c>
      <c r="L270" s="6">
        <v>8.6904000000000003</v>
      </c>
      <c r="M270" s="6">
        <v>1.4031E-2</v>
      </c>
      <c r="N270" s="6" t="s">
        <v>20</v>
      </c>
    </row>
    <row r="271" spans="1:14" ht="17" x14ac:dyDescent="0.35">
      <c r="A271" s="9">
        <v>110.51</v>
      </c>
      <c r="B271" s="11">
        <v>15.099</v>
      </c>
      <c r="C271" s="6">
        <v>2.3106</v>
      </c>
      <c r="D271" s="6">
        <v>0.43278</v>
      </c>
      <c r="E271" s="6">
        <v>1.7431000000000001</v>
      </c>
      <c r="F271" s="6">
        <v>2.3965999999999998</v>
      </c>
      <c r="G271" s="6">
        <v>134.85</v>
      </c>
      <c r="H271" s="6">
        <v>26.146000000000001</v>
      </c>
      <c r="I271" s="6">
        <v>59.131999999999998</v>
      </c>
      <c r="J271" s="6">
        <v>180.52</v>
      </c>
      <c r="K271" s="6">
        <v>1.4676</v>
      </c>
      <c r="L271" s="6">
        <v>8.6998999999999995</v>
      </c>
      <c r="M271" s="6">
        <v>1.406E-2</v>
      </c>
      <c r="N271" s="6" t="s">
        <v>20</v>
      </c>
    </row>
    <row r="272" spans="1:14" ht="17" x14ac:dyDescent="0.35">
      <c r="A272" s="9">
        <v>110.58</v>
      </c>
      <c r="B272" s="11">
        <v>15.154999999999999</v>
      </c>
      <c r="C272" s="6">
        <v>2.3205</v>
      </c>
      <c r="D272" s="6">
        <v>0.43093999999999999</v>
      </c>
      <c r="E272" s="6">
        <v>1.7423999999999999</v>
      </c>
      <c r="F272" s="6">
        <v>2.3955000000000002</v>
      </c>
      <c r="G272" s="6">
        <v>134.82</v>
      </c>
      <c r="H272" s="6">
        <v>26.164000000000001</v>
      </c>
      <c r="I272" s="6">
        <v>59.311999999999998</v>
      </c>
      <c r="J272" s="6">
        <v>180.49</v>
      </c>
      <c r="K272" s="6">
        <v>1.4659</v>
      </c>
      <c r="L272" s="6">
        <v>8.7093000000000007</v>
      </c>
      <c r="M272" s="6">
        <v>1.4089000000000001E-2</v>
      </c>
      <c r="N272" s="6" t="s">
        <v>20</v>
      </c>
    </row>
    <row r="273" spans="1:14" ht="17" x14ac:dyDescent="0.35">
      <c r="A273" s="9">
        <v>110.64</v>
      </c>
      <c r="B273" s="11">
        <v>15.211</v>
      </c>
      <c r="C273" s="6">
        <v>2.3304</v>
      </c>
      <c r="D273" s="6">
        <v>0.42910999999999999</v>
      </c>
      <c r="E273" s="6">
        <v>1.7417</v>
      </c>
      <c r="F273" s="6">
        <v>2.3944000000000001</v>
      </c>
      <c r="G273" s="6">
        <v>134.79</v>
      </c>
      <c r="H273" s="6">
        <v>26.181999999999999</v>
      </c>
      <c r="I273" s="6">
        <v>59.494</v>
      </c>
      <c r="J273" s="6">
        <v>180.46</v>
      </c>
      <c r="K273" s="6">
        <v>1.4641999999999999</v>
      </c>
      <c r="L273" s="6">
        <v>8.7187999999999999</v>
      </c>
      <c r="M273" s="6">
        <v>1.4118E-2</v>
      </c>
      <c r="N273" s="6" t="s">
        <v>20</v>
      </c>
    </row>
    <row r="274" spans="1:14" ht="17" x14ac:dyDescent="0.35">
      <c r="A274" s="9">
        <v>110.71</v>
      </c>
      <c r="B274" s="11">
        <v>15.268000000000001</v>
      </c>
      <c r="C274" s="6">
        <v>2.3403</v>
      </c>
      <c r="D274" s="6">
        <v>0.42729</v>
      </c>
      <c r="E274" s="6">
        <v>1.7410000000000001</v>
      </c>
      <c r="F274" s="6">
        <v>2.3934000000000002</v>
      </c>
      <c r="G274" s="6">
        <v>134.75</v>
      </c>
      <c r="H274" s="6">
        <v>26.2</v>
      </c>
      <c r="I274" s="6">
        <v>59.676000000000002</v>
      </c>
      <c r="J274" s="6">
        <v>180.43</v>
      </c>
      <c r="K274" s="6">
        <v>1.4623999999999999</v>
      </c>
      <c r="L274" s="6">
        <v>8.7281999999999993</v>
      </c>
      <c r="M274" s="6">
        <v>1.4148000000000001E-2</v>
      </c>
      <c r="N274" s="6" t="s">
        <v>20</v>
      </c>
    </row>
    <row r="275" spans="1:14" ht="17" x14ac:dyDescent="0.35">
      <c r="A275" s="9">
        <v>110.77</v>
      </c>
      <c r="B275" s="11">
        <v>15.324</v>
      </c>
      <c r="C275" s="6">
        <v>2.3502999999999998</v>
      </c>
      <c r="D275" s="6">
        <v>0.42548999999999998</v>
      </c>
      <c r="E275" s="6">
        <v>1.7403</v>
      </c>
      <c r="F275" s="6">
        <v>2.3923000000000001</v>
      </c>
      <c r="G275" s="6">
        <v>134.72</v>
      </c>
      <c r="H275" s="6">
        <v>26.218</v>
      </c>
      <c r="I275" s="6">
        <v>59.86</v>
      </c>
      <c r="J275" s="6">
        <v>180.39</v>
      </c>
      <c r="K275" s="6">
        <v>1.4607000000000001</v>
      </c>
      <c r="L275" s="6">
        <v>8.7377000000000002</v>
      </c>
      <c r="M275" s="6">
        <v>1.4177E-2</v>
      </c>
      <c r="N275" s="6" t="s">
        <v>20</v>
      </c>
    </row>
    <row r="276" spans="1:14" ht="17" x14ac:dyDescent="0.35">
      <c r="A276" s="9">
        <v>110.84</v>
      </c>
      <c r="B276" s="11">
        <v>15.38</v>
      </c>
      <c r="C276" s="6">
        <v>2.3601999999999999</v>
      </c>
      <c r="D276" s="6">
        <v>0.42369000000000001</v>
      </c>
      <c r="E276" s="6">
        <v>1.7396</v>
      </c>
      <c r="F276" s="6">
        <v>2.3912</v>
      </c>
      <c r="G276" s="6">
        <v>134.69</v>
      </c>
      <c r="H276" s="6">
        <v>26.236000000000001</v>
      </c>
      <c r="I276" s="6">
        <v>60.045000000000002</v>
      </c>
      <c r="J276" s="6">
        <v>180.36</v>
      </c>
      <c r="K276" s="6">
        <v>1.4590000000000001</v>
      </c>
      <c r="L276" s="6">
        <v>8.7470999999999997</v>
      </c>
      <c r="M276" s="6">
        <v>1.4206999999999999E-2</v>
      </c>
      <c r="N276" s="6" t="s">
        <v>20</v>
      </c>
    </row>
    <row r="277" spans="1:14" ht="17" x14ac:dyDescent="0.35">
      <c r="A277" s="9">
        <v>110.9</v>
      </c>
      <c r="B277" s="11">
        <v>15.436</v>
      </c>
      <c r="C277" s="6">
        <v>2.3702000000000001</v>
      </c>
      <c r="D277" s="6">
        <v>0.42191000000000001</v>
      </c>
      <c r="E277" s="6">
        <v>1.7387999999999999</v>
      </c>
      <c r="F277" s="6">
        <v>2.3900999999999999</v>
      </c>
      <c r="G277" s="6">
        <v>134.66</v>
      </c>
      <c r="H277" s="6">
        <v>26.254000000000001</v>
      </c>
      <c r="I277" s="6">
        <v>60.231000000000002</v>
      </c>
      <c r="J277" s="6">
        <v>180.33</v>
      </c>
      <c r="K277" s="6">
        <v>1.4573</v>
      </c>
      <c r="L277" s="6">
        <v>8.7566000000000006</v>
      </c>
      <c r="M277" s="6">
        <v>1.4237E-2</v>
      </c>
      <c r="N277" s="6" t="s">
        <v>20</v>
      </c>
    </row>
    <row r="278" spans="1:14" ht="17" x14ac:dyDescent="0.35">
      <c r="A278" s="9">
        <v>110.96</v>
      </c>
      <c r="B278" s="11">
        <v>15.493</v>
      </c>
      <c r="C278" s="6">
        <v>2.3801999999999999</v>
      </c>
      <c r="D278" s="6">
        <v>0.42014000000000001</v>
      </c>
      <c r="E278" s="6">
        <v>1.7381</v>
      </c>
      <c r="F278" s="6">
        <v>2.3889999999999998</v>
      </c>
      <c r="G278" s="6">
        <v>134.63</v>
      </c>
      <c r="H278" s="6">
        <v>26.273</v>
      </c>
      <c r="I278" s="6">
        <v>60.417999999999999</v>
      </c>
      <c r="J278" s="6">
        <v>180.3</v>
      </c>
      <c r="K278" s="6">
        <v>1.4556</v>
      </c>
      <c r="L278" s="6">
        <v>8.7660999999999998</v>
      </c>
      <c r="M278" s="6">
        <v>1.4265999999999999E-2</v>
      </c>
      <c r="N278" s="6" t="s">
        <v>20</v>
      </c>
    </row>
    <row r="279" spans="1:14" ht="17" x14ac:dyDescent="0.35">
      <c r="A279" s="9">
        <v>111.03</v>
      </c>
      <c r="B279" s="11">
        <v>15.548999999999999</v>
      </c>
      <c r="C279" s="6">
        <v>2.3902000000000001</v>
      </c>
      <c r="D279" s="6">
        <v>0.41837999999999997</v>
      </c>
      <c r="E279" s="6">
        <v>1.7374000000000001</v>
      </c>
      <c r="F279" s="6">
        <v>2.3879000000000001</v>
      </c>
      <c r="G279" s="6">
        <v>134.6</v>
      </c>
      <c r="H279" s="6">
        <v>26.291</v>
      </c>
      <c r="I279" s="6">
        <v>60.606000000000002</v>
      </c>
      <c r="J279" s="6">
        <v>180.27</v>
      </c>
      <c r="K279" s="6">
        <v>1.4539</v>
      </c>
      <c r="L279" s="6">
        <v>8.7756000000000007</v>
      </c>
      <c r="M279" s="6">
        <v>1.4296E-2</v>
      </c>
      <c r="N279" s="6" t="s">
        <v>20</v>
      </c>
    </row>
    <row r="280" spans="1:14" ht="17" x14ac:dyDescent="0.35">
      <c r="A280" s="9">
        <v>111.09</v>
      </c>
      <c r="B280" s="11">
        <v>15.605</v>
      </c>
      <c r="C280" s="6">
        <v>2.4001999999999999</v>
      </c>
      <c r="D280" s="6">
        <v>0.41664000000000001</v>
      </c>
      <c r="E280" s="6">
        <v>1.7365999999999999</v>
      </c>
      <c r="F280" s="6">
        <v>2.3868</v>
      </c>
      <c r="G280" s="6">
        <v>134.57</v>
      </c>
      <c r="H280" s="6">
        <v>26.31</v>
      </c>
      <c r="I280" s="6">
        <v>60.795999999999999</v>
      </c>
      <c r="J280" s="6">
        <v>180.23</v>
      </c>
      <c r="K280" s="6">
        <v>1.4521999999999999</v>
      </c>
      <c r="L280" s="6">
        <v>8.7850999999999999</v>
      </c>
      <c r="M280" s="6">
        <v>1.4326E-2</v>
      </c>
      <c r="N280" s="6" t="s">
        <v>20</v>
      </c>
    </row>
    <row r="281" spans="1:14" ht="17" x14ac:dyDescent="0.35">
      <c r="A281" s="9">
        <v>111.15</v>
      </c>
      <c r="B281" s="11">
        <v>15.662000000000001</v>
      </c>
      <c r="C281" s="6">
        <v>2.4102000000000001</v>
      </c>
      <c r="D281" s="6">
        <v>0.41489999999999999</v>
      </c>
      <c r="E281" s="6">
        <v>1.7359</v>
      </c>
      <c r="F281" s="6">
        <v>2.3856999999999999</v>
      </c>
      <c r="G281" s="6">
        <v>134.54</v>
      </c>
      <c r="H281" s="6">
        <v>26.327999999999999</v>
      </c>
      <c r="I281" s="6">
        <v>60.987000000000002</v>
      </c>
      <c r="J281" s="6">
        <v>180.2</v>
      </c>
      <c r="K281" s="6">
        <v>1.4504999999999999</v>
      </c>
      <c r="L281" s="6">
        <v>8.7944999999999993</v>
      </c>
      <c r="M281" s="6">
        <v>1.4356000000000001E-2</v>
      </c>
      <c r="N281" s="6" t="s">
        <v>20</v>
      </c>
    </row>
    <row r="282" spans="1:14" ht="17" x14ac:dyDescent="0.35">
      <c r="A282" s="9">
        <v>111.22</v>
      </c>
      <c r="B282" s="11">
        <v>15.718</v>
      </c>
      <c r="C282" s="6">
        <v>2.4203000000000001</v>
      </c>
      <c r="D282" s="6">
        <v>0.41317999999999999</v>
      </c>
      <c r="E282" s="6">
        <v>1.7351000000000001</v>
      </c>
      <c r="F282" s="6">
        <v>2.3845000000000001</v>
      </c>
      <c r="G282" s="6">
        <v>134.5</v>
      </c>
      <c r="H282" s="6">
        <v>26.347000000000001</v>
      </c>
      <c r="I282" s="6">
        <v>61.179000000000002</v>
      </c>
      <c r="J282" s="6">
        <v>180.17</v>
      </c>
      <c r="K282" s="6">
        <v>1.4488000000000001</v>
      </c>
      <c r="L282" s="6">
        <v>8.8040000000000003</v>
      </c>
      <c r="M282" s="6">
        <v>1.4385999999999999E-2</v>
      </c>
      <c r="N282" s="6" t="s">
        <v>20</v>
      </c>
    </row>
    <row r="283" spans="1:14" ht="17" x14ac:dyDescent="0.35">
      <c r="A283" s="9">
        <v>111.28</v>
      </c>
      <c r="B283" s="11">
        <v>15.773999999999999</v>
      </c>
      <c r="C283" s="6">
        <v>2.4302999999999999</v>
      </c>
      <c r="D283" s="6">
        <v>0.41147</v>
      </c>
      <c r="E283" s="6">
        <v>1.7343</v>
      </c>
      <c r="F283" s="6">
        <v>2.3834</v>
      </c>
      <c r="G283" s="6">
        <v>134.47</v>
      </c>
      <c r="H283" s="6">
        <v>26.364999999999998</v>
      </c>
      <c r="I283" s="6">
        <v>61.372</v>
      </c>
      <c r="J283" s="6">
        <v>180.14</v>
      </c>
      <c r="K283" s="6">
        <v>1.4471000000000001</v>
      </c>
      <c r="L283" s="6">
        <v>8.8134999999999994</v>
      </c>
      <c r="M283" s="6">
        <v>1.4416999999999999E-2</v>
      </c>
      <c r="N283" s="6" t="s">
        <v>20</v>
      </c>
    </row>
    <row r="284" spans="1:14" ht="17" x14ac:dyDescent="0.35">
      <c r="A284" s="9">
        <v>111.34</v>
      </c>
      <c r="B284" s="11">
        <v>15.83</v>
      </c>
      <c r="C284" s="6">
        <v>2.4403999999999999</v>
      </c>
      <c r="D284" s="6">
        <v>0.40977000000000002</v>
      </c>
      <c r="E284" s="6">
        <v>1.7336</v>
      </c>
      <c r="F284" s="6">
        <v>2.3822999999999999</v>
      </c>
      <c r="G284" s="6">
        <v>134.44</v>
      </c>
      <c r="H284" s="6">
        <v>26.384</v>
      </c>
      <c r="I284" s="6">
        <v>61.567</v>
      </c>
      <c r="J284" s="6">
        <v>180.1</v>
      </c>
      <c r="K284" s="6">
        <v>1.4454</v>
      </c>
      <c r="L284" s="6">
        <v>8.8230000000000004</v>
      </c>
      <c r="M284" s="6">
        <v>1.4447E-2</v>
      </c>
      <c r="N284" s="6" t="s">
        <v>20</v>
      </c>
    </row>
    <row r="285" spans="1:14" ht="17" x14ac:dyDescent="0.35">
      <c r="A285" s="9">
        <v>111.4</v>
      </c>
      <c r="B285" s="11">
        <v>15.887</v>
      </c>
      <c r="C285" s="6">
        <v>2.4504999999999999</v>
      </c>
      <c r="D285" s="6">
        <v>0.40808</v>
      </c>
      <c r="E285" s="6">
        <v>1.7327999999999999</v>
      </c>
      <c r="F285" s="6">
        <v>2.3811</v>
      </c>
      <c r="G285" s="6">
        <v>134.41</v>
      </c>
      <c r="H285" s="6">
        <v>26.402999999999999</v>
      </c>
      <c r="I285" s="6">
        <v>61.762999999999998</v>
      </c>
      <c r="J285" s="6">
        <v>180.07</v>
      </c>
      <c r="K285" s="6">
        <v>1.4437</v>
      </c>
      <c r="L285" s="6">
        <v>8.8325999999999993</v>
      </c>
      <c r="M285" s="6">
        <v>1.4477E-2</v>
      </c>
      <c r="N285" s="6" t="s">
        <v>20</v>
      </c>
    </row>
    <row r="286" spans="1:14" ht="17" x14ac:dyDescent="0.35">
      <c r="A286" s="9">
        <v>111.47</v>
      </c>
      <c r="B286" s="11">
        <v>15.943</v>
      </c>
      <c r="C286" s="6">
        <v>2.4607000000000001</v>
      </c>
      <c r="D286" s="6">
        <v>0.40639999999999998</v>
      </c>
      <c r="E286" s="6">
        <v>1.732</v>
      </c>
      <c r="F286" s="6">
        <v>2.3799000000000001</v>
      </c>
      <c r="G286" s="6">
        <v>134.38</v>
      </c>
      <c r="H286" s="6">
        <v>26.422000000000001</v>
      </c>
      <c r="I286" s="6">
        <v>61.96</v>
      </c>
      <c r="J286" s="6">
        <v>180.04</v>
      </c>
      <c r="K286" s="6">
        <v>1.4419999999999999</v>
      </c>
      <c r="L286" s="6">
        <v>8.8421000000000003</v>
      </c>
      <c r="M286" s="6">
        <v>1.4508E-2</v>
      </c>
      <c r="N286" s="6" t="s">
        <v>20</v>
      </c>
    </row>
    <row r="287" spans="1:14" ht="17" x14ac:dyDescent="0.35">
      <c r="A287" s="9">
        <v>111.53</v>
      </c>
      <c r="B287" s="11">
        <v>15.999000000000001</v>
      </c>
      <c r="C287" s="6">
        <v>2.4708000000000001</v>
      </c>
      <c r="D287" s="6">
        <v>0.40472999999999998</v>
      </c>
      <c r="E287" s="6">
        <v>1.7312000000000001</v>
      </c>
      <c r="F287" s="6">
        <v>2.3788</v>
      </c>
      <c r="G287" s="6">
        <v>134.35</v>
      </c>
      <c r="H287" s="6">
        <v>26.440999999999999</v>
      </c>
      <c r="I287" s="6">
        <v>62.158999999999999</v>
      </c>
      <c r="J287" s="6">
        <v>180</v>
      </c>
      <c r="K287" s="6">
        <v>1.4402999999999999</v>
      </c>
      <c r="L287" s="6">
        <v>8.8515999999999995</v>
      </c>
      <c r="M287" s="6">
        <v>1.4538000000000001E-2</v>
      </c>
      <c r="N287" s="6" t="s">
        <v>20</v>
      </c>
    </row>
    <row r="288" spans="1:14" ht="17" x14ac:dyDescent="0.35">
      <c r="A288" s="9">
        <v>111.59</v>
      </c>
      <c r="B288" s="11">
        <v>16.056000000000001</v>
      </c>
      <c r="C288" s="6">
        <v>2.4809999999999999</v>
      </c>
      <c r="D288" s="6">
        <v>0.40306999999999998</v>
      </c>
      <c r="E288" s="6">
        <v>1.7303999999999999</v>
      </c>
      <c r="F288" s="6">
        <v>2.3776000000000002</v>
      </c>
      <c r="G288" s="6">
        <v>134.32</v>
      </c>
      <c r="H288" s="6">
        <v>26.46</v>
      </c>
      <c r="I288" s="6">
        <v>62.357999999999997</v>
      </c>
      <c r="J288" s="6">
        <v>179.97</v>
      </c>
      <c r="K288" s="6">
        <v>1.4386000000000001</v>
      </c>
      <c r="L288" s="6">
        <v>8.8611000000000004</v>
      </c>
      <c r="M288" s="6">
        <v>1.4569E-2</v>
      </c>
      <c r="N288" s="6" t="s">
        <v>20</v>
      </c>
    </row>
    <row r="289" spans="1:14" ht="17" x14ac:dyDescent="0.35">
      <c r="A289" s="9">
        <v>111.65</v>
      </c>
      <c r="B289" s="11">
        <v>16.111999999999998</v>
      </c>
      <c r="C289" s="6">
        <v>2.4910999999999999</v>
      </c>
      <c r="D289" s="6">
        <v>0.40142</v>
      </c>
      <c r="E289" s="6">
        <v>1.7296</v>
      </c>
      <c r="F289" s="6">
        <v>2.3763999999999998</v>
      </c>
      <c r="G289" s="6">
        <v>134.29</v>
      </c>
      <c r="H289" s="6">
        <v>26.478999999999999</v>
      </c>
      <c r="I289" s="6">
        <v>62.558999999999997</v>
      </c>
      <c r="J289" s="6">
        <v>179.94</v>
      </c>
      <c r="K289" s="6">
        <v>1.4370000000000001</v>
      </c>
      <c r="L289" s="6">
        <v>8.8706999999999994</v>
      </c>
      <c r="M289" s="6">
        <v>1.46E-2</v>
      </c>
      <c r="N289" s="6" t="s">
        <v>20</v>
      </c>
    </row>
    <row r="290" spans="1:14" ht="17" x14ac:dyDescent="0.35">
      <c r="A290" s="9">
        <v>111.71</v>
      </c>
      <c r="B290" s="11">
        <v>16.167999999999999</v>
      </c>
      <c r="C290" s="6">
        <v>2.5013000000000001</v>
      </c>
      <c r="D290" s="6">
        <v>0.39978999999999998</v>
      </c>
      <c r="E290" s="6">
        <v>1.7287999999999999</v>
      </c>
      <c r="F290" s="6">
        <v>2.3752</v>
      </c>
      <c r="G290" s="6">
        <v>134.26</v>
      </c>
      <c r="H290" s="6">
        <v>26.498000000000001</v>
      </c>
      <c r="I290" s="6">
        <v>62.762</v>
      </c>
      <c r="J290" s="6">
        <v>179.9</v>
      </c>
      <c r="K290" s="6">
        <v>1.4353</v>
      </c>
      <c r="L290" s="6">
        <v>8.8802000000000003</v>
      </c>
      <c r="M290" s="6">
        <v>1.4631E-2</v>
      </c>
      <c r="N290" s="6" t="s">
        <v>20</v>
      </c>
    </row>
    <row r="291" spans="1:14" ht="17" x14ac:dyDescent="0.35">
      <c r="A291" s="9">
        <v>111.78</v>
      </c>
      <c r="B291" s="11">
        <v>16.225000000000001</v>
      </c>
      <c r="C291" s="6">
        <v>2.5116000000000001</v>
      </c>
      <c r="D291" s="6">
        <v>0.39816000000000001</v>
      </c>
      <c r="E291" s="6">
        <v>1.728</v>
      </c>
      <c r="F291" s="6">
        <v>2.3740000000000001</v>
      </c>
      <c r="G291" s="6">
        <v>134.22999999999999</v>
      </c>
      <c r="H291" s="6">
        <v>26.516999999999999</v>
      </c>
      <c r="I291" s="6">
        <v>62.966000000000001</v>
      </c>
      <c r="J291" s="6">
        <v>179.87</v>
      </c>
      <c r="K291" s="6">
        <v>1.4336</v>
      </c>
      <c r="L291" s="6">
        <v>8.8896999999999995</v>
      </c>
      <c r="M291" s="6">
        <v>1.4662E-2</v>
      </c>
      <c r="N291" s="6" t="s">
        <v>20</v>
      </c>
    </row>
    <row r="292" spans="1:14" ht="17" x14ac:dyDescent="0.35">
      <c r="A292" s="9">
        <v>111.84</v>
      </c>
      <c r="B292" s="11">
        <v>16.280999999999999</v>
      </c>
      <c r="C292" s="6">
        <v>2.5217999999999998</v>
      </c>
      <c r="D292" s="6">
        <v>0.39654</v>
      </c>
      <c r="E292" s="6">
        <v>1.7272000000000001</v>
      </c>
      <c r="F292" s="6">
        <v>2.3727999999999998</v>
      </c>
      <c r="G292" s="6">
        <v>134.19</v>
      </c>
      <c r="H292" s="6">
        <v>26.536000000000001</v>
      </c>
      <c r="I292" s="6">
        <v>63.170999999999999</v>
      </c>
      <c r="J292" s="6">
        <v>179.84</v>
      </c>
      <c r="K292" s="6">
        <v>1.4319</v>
      </c>
      <c r="L292" s="6">
        <v>8.8993000000000002</v>
      </c>
      <c r="M292" s="6">
        <v>1.4692999999999999E-2</v>
      </c>
      <c r="N292" s="6" t="s">
        <v>20</v>
      </c>
    </row>
    <row r="293" spans="1:14" ht="17" x14ac:dyDescent="0.35">
      <c r="A293" s="9">
        <v>111.9</v>
      </c>
      <c r="B293" s="11">
        <v>16.337</v>
      </c>
      <c r="C293" s="6">
        <v>2.532</v>
      </c>
      <c r="D293" s="6">
        <v>0.39494000000000001</v>
      </c>
      <c r="E293" s="6">
        <v>1.7263999999999999</v>
      </c>
      <c r="F293" s="6">
        <v>2.3715999999999999</v>
      </c>
      <c r="G293" s="6">
        <v>134.16</v>
      </c>
      <c r="H293" s="6">
        <v>26.556000000000001</v>
      </c>
      <c r="I293" s="6">
        <v>63.377000000000002</v>
      </c>
      <c r="J293" s="6">
        <v>179.8</v>
      </c>
      <c r="K293" s="6">
        <v>1.4301999999999999</v>
      </c>
      <c r="L293" s="6">
        <v>8.9088999999999992</v>
      </c>
      <c r="M293" s="6">
        <v>1.4723999999999999E-2</v>
      </c>
      <c r="N293" s="6" t="s">
        <v>20</v>
      </c>
    </row>
    <row r="294" spans="1:14" ht="17" x14ac:dyDescent="0.35">
      <c r="A294" s="9">
        <v>111.96</v>
      </c>
      <c r="B294" s="11">
        <v>16.393000000000001</v>
      </c>
      <c r="C294" s="6">
        <v>2.5423</v>
      </c>
      <c r="D294" s="6">
        <v>0.39334000000000002</v>
      </c>
      <c r="E294" s="6">
        <v>1.7256</v>
      </c>
      <c r="F294" s="6">
        <v>2.3704000000000001</v>
      </c>
      <c r="G294" s="6">
        <v>134.13</v>
      </c>
      <c r="H294" s="6">
        <v>26.574999999999999</v>
      </c>
      <c r="I294" s="6">
        <v>63.585000000000001</v>
      </c>
      <c r="J294" s="6">
        <v>179.77</v>
      </c>
      <c r="K294" s="6">
        <v>1.4286000000000001</v>
      </c>
      <c r="L294" s="6">
        <v>8.9184000000000001</v>
      </c>
      <c r="M294" s="6">
        <v>1.4755000000000001E-2</v>
      </c>
      <c r="N294" s="6" t="s">
        <v>20</v>
      </c>
    </row>
    <row r="295" spans="1:14" ht="17" x14ac:dyDescent="0.35">
      <c r="A295" s="9">
        <v>112.02</v>
      </c>
      <c r="B295" s="11">
        <v>16.45</v>
      </c>
      <c r="C295" s="6">
        <v>2.5526</v>
      </c>
      <c r="D295" s="6">
        <v>0.39174999999999999</v>
      </c>
      <c r="E295" s="6">
        <v>1.7246999999999999</v>
      </c>
      <c r="F295" s="6">
        <v>2.3691</v>
      </c>
      <c r="G295" s="6">
        <v>134.1</v>
      </c>
      <c r="H295" s="6">
        <v>26.594999999999999</v>
      </c>
      <c r="I295" s="6">
        <v>63.795000000000002</v>
      </c>
      <c r="J295" s="6">
        <v>179.73</v>
      </c>
      <c r="K295" s="6">
        <v>1.4269000000000001</v>
      </c>
      <c r="L295" s="6">
        <v>8.9280000000000008</v>
      </c>
      <c r="M295" s="6">
        <v>1.4787E-2</v>
      </c>
      <c r="N295" s="6" t="s">
        <v>20</v>
      </c>
    </row>
    <row r="296" spans="1:14" ht="17" x14ac:dyDescent="0.35">
      <c r="A296" s="9">
        <v>112.08</v>
      </c>
      <c r="B296" s="11">
        <v>16.506</v>
      </c>
      <c r="C296" s="6">
        <v>2.5629</v>
      </c>
      <c r="D296" s="6">
        <v>0.39018000000000003</v>
      </c>
      <c r="E296" s="6">
        <v>1.7239</v>
      </c>
      <c r="F296" s="6">
        <v>2.3679000000000001</v>
      </c>
      <c r="G296" s="6">
        <v>134.07</v>
      </c>
      <c r="H296" s="6">
        <v>26.614000000000001</v>
      </c>
      <c r="I296" s="6">
        <v>64.006</v>
      </c>
      <c r="J296" s="6">
        <v>179.7</v>
      </c>
      <c r="K296" s="6">
        <v>1.4252</v>
      </c>
      <c r="L296" s="6">
        <v>8.9375999999999998</v>
      </c>
      <c r="M296" s="6">
        <v>1.4818E-2</v>
      </c>
      <c r="N296" s="6" t="s">
        <v>20</v>
      </c>
    </row>
    <row r="297" spans="1:14" ht="17" x14ac:dyDescent="0.35">
      <c r="A297" s="9">
        <v>112.14</v>
      </c>
      <c r="B297" s="11">
        <v>16.562000000000001</v>
      </c>
      <c r="C297" s="6">
        <v>2.5733000000000001</v>
      </c>
      <c r="D297" s="6">
        <v>0.38861000000000001</v>
      </c>
      <c r="E297" s="6">
        <v>1.7230000000000001</v>
      </c>
      <c r="F297" s="6">
        <v>2.3666999999999998</v>
      </c>
      <c r="G297" s="6">
        <v>134.04</v>
      </c>
      <c r="H297" s="6">
        <v>26.634</v>
      </c>
      <c r="I297" s="6">
        <v>64.218000000000004</v>
      </c>
      <c r="J297" s="6">
        <v>179.66</v>
      </c>
      <c r="K297" s="6">
        <v>1.4235</v>
      </c>
      <c r="L297" s="6">
        <v>8.9472000000000005</v>
      </c>
      <c r="M297" s="6">
        <v>1.485E-2</v>
      </c>
      <c r="N297" s="6" t="s">
        <v>20</v>
      </c>
    </row>
    <row r="298" spans="1:14" ht="17" x14ac:dyDescent="0.35">
      <c r="A298" s="9">
        <v>112.2</v>
      </c>
      <c r="B298" s="11">
        <v>16.619</v>
      </c>
      <c r="C298" s="6">
        <v>2.5836000000000001</v>
      </c>
      <c r="D298" s="6">
        <v>0.38705000000000001</v>
      </c>
      <c r="E298" s="6">
        <v>1.7222</v>
      </c>
      <c r="F298" s="6">
        <v>2.3654000000000002</v>
      </c>
      <c r="G298" s="6">
        <v>134.01</v>
      </c>
      <c r="H298" s="6">
        <v>26.652999999999999</v>
      </c>
      <c r="I298" s="6">
        <v>64.430999999999997</v>
      </c>
      <c r="J298" s="6">
        <v>179.63</v>
      </c>
      <c r="K298" s="6">
        <v>1.4218999999999999</v>
      </c>
      <c r="L298" s="6">
        <v>8.9567999999999994</v>
      </c>
      <c r="M298" s="6">
        <v>1.4881E-2</v>
      </c>
      <c r="N298" s="6" t="s">
        <v>20</v>
      </c>
    </row>
    <row r="299" spans="1:14" ht="17" x14ac:dyDescent="0.35">
      <c r="A299" s="9">
        <v>112.26</v>
      </c>
      <c r="B299" s="11">
        <v>16.675000000000001</v>
      </c>
      <c r="C299" s="6">
        <v>2.5939999999999999</v>
      </c>
      <c r="D299" s="6">
        <v>0.38551000000000002</v>
      </c>
      <c r="E299" s="6">
        <v>1.7213000000000001</v>
      </c>
      <c r="F299" s="6">
        <v>2.3641000000000001</v>
      </c>
      <c r="G299" s="6">
        <v>133.97999999999999</v>
      </c>
      <c r="H299" s="6">
        <v>26.672999999999998</v>
      </c>
      <c r="I299" s="6">
        <v>64.647000000000006</v>
      </c>
      <c r="J299" s="6">
        <v>179.59</v>
      </c>
      <c r="K299" s="6">
        <v>1.4201999999999999</v>
      </c>
      <c r="L299" s="6">
        <v>8.9664000000000001</v>
      </c>
      <c r="M299" s="6">
        <v>1.4912999999999999E-2</v>
      </c>
      <c r="N299" s="6" t="s">
        <v>20</v>
      </c>
    </row>
    <row r="300" spans="1:14" ht="17" x14ac:dyDescent="0.35">
      <c r="A300" s="9">
        <v>112.32</v>
      </c>
      <c r="B300" s="11">
        <v>16.731000000000002</v>
      </c>
      <c r="C300" s="6">
        <v>2.6044</v>
      </c>
      <c r="D300" s="6">
        <v>0.38396999999999998</v>
      </c>
      <c r="E300" s="6">
        <v>1.7203999999999999</v>
      </c>
      <c r="F300" s="6">
        <v>2.3628999999999998</v>
      </c>
      <c r="G300" s="6">
        <v>133.94999999999999</v>
      </c>
      <c r="H300" s="6">
        <v>26.693000000000001</v>
      </c>
      <c r="I300" s="6">
        <v>64.863</v>
      </c>
      <c r="J300" s="6">
        <v>179.56</v>
      </c>
      <c r="K300" s="6">
        <v>1.4185000000000001</v>
      </c>
      <c r="L300" s="6">
        <v>8.9760000000000009</v>
      </c>
      <c r="M300" s="6">
        <v>1.4945E-2</v>
      </c>
      <c r="N300" s="6" t="s">
        <v>20</v>
      </c>
    </row>
    <row r="301" spans="1:14" ht="17" x14ac:dyDescent="0.35">
      <c r="A301" s="9">
        <v>112.38</v>
      </c>
      <c r="B301" s="11">
        <v>16.786999999999999</v>
      </c>
      <c r="C301" s="6">
        <v>2.6147999999999998</v>
      </c>
      <c r="D301" s="6">
        <v>0.38244</v>
      </c>
      <c r="E301" s="6">
        <v>1.7196</v>
      </c>
      <c r="F301" s="6">
        <v>2.3616000000000001</v>
      </c>
      <c r="G301" s="6">
        <v>133.91999999999999</v>
      </c>
      <c r="H301" s="6">
        <v>26.713000000000001</v>
      </c>
      <c r="I301" s="6">
        <v>65.081000000000003</v>
      </c>
      <c r="J301" s="6">
        <v>179.52</v>
      </c>
      <c r="K301" s="6">
        <v>1.4169</v>
      </c>
      <c r="L301" s="6">
        <v>8.9855999999999998</v>
      </c>
      <c r="M301" s="6">
        <v>1.4977000000000001E-2</v>
      </c>
      <c r="N301" s="6" t="s">
        <v>20</v>
      </c>
    </row>
    <row r="302" spans="1:14" ht="17" x14ac:dyDescent="0.35">
      <c r="A302" s="9">
        <v>112.44</v>
      </c>
      <c r="B302" s="11">
        <v>16.844000000000001</v>
      </c>
      <c r="C302" s="6">
        <v>2.6252</v>
      </c>
      <c r="D302" s="6">
        <v>0.38091999999999998</v>
      </c>
      <c r="E302" s="6">
        <v>1.7186999999999999</v>
      </c>
      <c r="F302" s="6">
        <v>2.3603000000000001</v>
      </c>
      <c r="G302" s="6">
        <v>133.88999999999999</v>
      </c>
      <c r="H302" s="6">
        <v>26.733000000000001</v>
      </c>
      <c r="I302" s="6">
        <v>65.301000000000002</v>
      </c>
      <c r="J302" s="6">
        <v>179.49</v>
      </c>
      <c r="K302" s="6">
        <v>1.4152</v>
      </c>
      <c r="L302" s="6">
        <v>8.9953000000000003</v>
      </c>
      <c r="M302" s="6">
        <v>1.5009E-2</v>
      </c>
      <c r="N302" s="6" t="s">
        <v>20</v>
      </c>
    </row>
    <row r="303" spans="1:14" ht="17" x14ac:dyDescent="0.35">
      <c r="A303" s="9">
        <v>112.5</v>
      </c>
      <c r="B303" s="11">
        <v>16.899999999999999</v>
      </c>
      <c r="C303" s="6">
        <v>2.6356999999999999</v>
      </c>
      <c r="D303" s="6">
        <v>0.37941000000000003</v>
      </c>
      <c r="E303" s="6">
        <v>1.7178</v>
      </c>
      <c r="F303" s="6">
        <v>2.359</v>
      </c>
      <c r="G303" s="6">
        <v>133.86000000000001</v>
      </c>
      <c r="H303" s="6">
        <v>26.753</v>
      </c>
      <c r="I303" s="6">
        <v>65.522000000000006</v>
      </c>
      <c r="J303" s="6">
        <v>179.45</v>
      </c>
      <c r="K303" s="6">
        <v>1.4135</v>
      </c>
      <c r="L303" s="6">
        <v>9.0048999999999992</v>
      </c>
      <c r="M303" s="6">
        <v>1.5041000000000001E-2</v>
      </c>
      <c r="N303" s="6" t="s">
        <v>20</v>
      </c>
    </row>
    <row r="304" spans="1:14" ht="17" x14ac:dyDescent="0.35">
      <c r="A304" s="9">
        <v>112.56</v>
      </c>
      <c r="B304" s="11">
        <v>16.956</v>
      </c>
      <c r="C304" s="6">
        <v>2.6461999999999999</v>
      </c>
      <c r="D304" s="6">
        <v>0.37791000000000002</v>
      </c>
      <c r="E304" s="6">
        <v>1.7169000000000001</v>
      </c>
      <c r="F304" s="6">
        <v>2.3576999999999999</v>
      </c>
      <c r="G304" s="6">
        <v>133.83000000000001</v>
      </c>
      <c r="H304" s="6">
        <v>26.773</v>
      </c>
      <c r="I304" s="6">
        <v>65.745000000000005</v>
      </c>
      <c r="J304" s="6">
        <v>179.42</v>
      </c>
      <c r="K304" s="6">
        <v>1.4118999999999999</v>
      </c>
      <c r="L304" s="6">
        <v>9.0145999999999997</v>
      </c>
      <c r="M304" s="6">
        <v>1.5074000000000001E-2</v>
      </c>
      <c r="N304" s="6" t="s">
        <v>20</v>
      </c>
    </row>
    <row r="305" spans="1:14" ht="17" x14ac:dyDescent="0.35">
      <c r="A305" s="9">
        <v>112.62</v>
      </c>
      <c r="B305" s="11">
        <v>17.013000000000002</v>
      </c>
      <c r="C305" s="6">
        <v>2.6566000000000001</v>
      </c>
      <c r="D305" s="6">
        <v>0.37641000000000002</v>
      </c>
      <c r="E305" s="6">
        <v>1.716</v>
      </c>
      <c r="F305" s="6">
        <v>2.3563999999999998</v>
      </c>
      <c r="G305" s="6">
        <v>133.80000000000001</v>
      </c>
      <c r="H305" s="6">
        <v>26.794</v>
      </c>
      <c r="I305" s="6">
        <v>65.968999999999994</v>
      </c>
      <c r="J305" s="6">
        <v>179.38</v>
      </c>
      <c r="K305" s="6">
        <v>1.4101999999999999</v>
      </c>
      <c r="L305" s="6">
        <v>9.0242000000000004</v>
      </c>
      <c r="M305" s="6">
        <v>1.5106E-2</v>
      </c>
      <c r="N305" s="6" t="s">
        <v>20</v>
      </c>
    </row>
    <row r="306" spans="1:14" ht="17" x14ac:dyDescent="0.35">
      <c r="A306" s="9">
        <v>112.68</v>
      </c>
      <c r="B306" s="11">
        <v>17.068999999999999</v>
      </c>
      <c r="C306" s="6">
        <v>2.6671999999999998</v>
      </c>
      <c r="D306" s="6">
        <v>0.37492999999999999</v>
      </c>
      <c r="E306" s="6">
        <v>1.7151000000000001</v>
      </c>
      <c r="F306" s="6">
        <v>2.3551000000000002</v>
      </c>
      <c r="G306" s="6">
        <v>133.77000000000001</v>
      </c>
      <c r="H306" s="6">
        <v>26.814</v>
      </c>
      <c r="I306" s="6">
        <v>66.194999999999993</v>
      </c>
      <c r="J306" s="6">
        <v>179.35</v>
      </c>
      <c r="K306" s="6">
        <v>1.4086000000000001</v>
      </c>
      <c r="L306" s="6">
        <v>9.0338999999999992</v>
      </c>
      <c r="M306" s="6">
        <v>1.5139E-2</v>
      </c>
      <c r="N306" s="6" t="s">
        <v>20</v>
      </c>
    </row>
    <row r="307" spans="1:14" ht="17" x14ac:dyDescent="0.35">
      <c r="A307" s="9">
        <v>112.74</v>
      </c>
      <c r="B307" s="11">
        <v>17.125</v>
      </c>
      <c r="C307" s="6">
        <v>2.6777000000000002</v>
      </c>
      <c r="D307" s="6">
        <v>0.37346000000000001</v>
      </c>
      <c r="E307" s="6">
        <v>1.7141999999999999</v>
      </c>
      <c r="F307" s="6">
        <v>2.3538000000000001</v>
      </c>
      <c r="G307" s="6">
        <v>133.74</v>
      </c>
      <c r="H307" s="6">
        <v>26.834</v>
      </c>
      <c r="I307" s="6">
        <v>66.423000000000002</v>
      </c>
      <c r="J307" s="6">
        <v>179.31</v>
      </c>
      <c r="K307" s="6">
        <v>1.4069</v>
      </c>
      <c r="L307" s="6">
        <v>9.0435999999999996</v>
      </c>
      <c r="M307" s="6">
        <v>1.5171E-2</v>
      </c>
      <c r="N307" s="6" t="s">
        <v>20</v>
      </c>
    </row>
    <row r="308" spans="1:14" ht="17" x14ac:dyDescent="0.35">
      <c r="A308" s="9">
        <v>112.8</v>
      </c>
      <c r="B308" s="11">
        <v>17.181000000000001</v>
      </c>
      <c r="C308" s="6">
        <v>2.6882000000000001</v>
      </c>
      <c r="D308" s="6">
        <v>0.37198999999999999</v>
      </c>
      <c r="E308" s="6">
        <v>1.7133</v>
      </c>
      <c r="F308" s="6">
        <v>2.3523999999999998</v>
      </c>
      <c r="G308" s="6">
        <v>133.71</v>
      </c>
      <c r="H308" s="6">
        <v>26.855</v>
      </c>
      <c r="I308" s="6">
        <v>66.652000000000001</v>
      </c>
      <c r="J308" s="6">
        <v>179.27</v>
      </c>
      <c r="K308" s="6">
        <v>1.4052</v>
      </c>
      <c r="L308" s="6">
        <v>9.0533000000000001</v>
      </c>
      <c r="M308" s="6">
        <v>1.5204000000000001E-2</v>
      </c>
      <c r="N308" s="6" t="s">
        <v>20</v>
      </c>
    </row>
    <row r="309" spans="1:14" ht="17" x14ac:dyDescent="0.35">
      <c r="A309" s="9">
        <v>112.86</v>
      </c>
      <c r="B309" s="11">
        <v>17.238</v>
      </c>
      <c r="C309" s="6">
        <v>2.6987999999999999</v>
      </c>
      <c r="D309" s="6">
        <v>0.37053000000000003</v>
      </c>
      <c r="E309" s="6">
        <v>1.7123999999999999</v>
      </c>
      <c r="F309" s="6">
        <v>2.3511000000000002</v>
      </c>
      <c r="G309" s="6">
        <v>133.68</v>
      </c>
      <c r="H309" s="6">
        <v>26.875</v>
      </c>
      <c r="I309" s="6">
        <v>66.882000000000005</v>
      </c>
      <c r="J309" s="6">
        <v>179.24</v>
      </c>
      <c r="K309" s="6">
        <v>1.4036</v>
      </c>
      <c r="L309" s="6">
        <v>9.0629000000000008</v>
      </c>
      <c r="M309" s="6">
        <v>1.5237000000000001E-2</v>
      </c>
      <c r="N309" s="6" t="s">
        <v>20</v>
      </c>
    </row>
    <row r="310" spans="1:14" ht="17" x14ac:dyDescent="0.35">
      <c r="A310" s="9">
        <v>112.92</v>
      </c>
      <c r="B310" s="11">
        <v>17.294</v>
      </c>
      <c r="C310" s="6">
        <v>2.7094</v>
      </c>
      <c r="D310" s="6">
        <v>0.36908000000000002</v>
      </c>
      <c r="E310" s="6">
        <v>1.7115</v>
      </c>
      <c r="F310" s="6">
        <v>2.3498000000000001</v>
      </c>
      <c r="G310" s="6">
        <v>133.63999999999999</v>
      </c>
      <c r="H310" s="6">
        <v>26.896000000000001</v>
      </c>
      <c r="I310" s="6">
        <v>67.114999999999995</v>
      </c>
      <c r="J310" s="6">
        <v>179.2</v>
      </c>
      <c r="K310" s="6">
        <v>1.4018999999999999</v>
      </c>
      <c r="L310" s="6">
        <v>9.0726999999999993</v>
      </c>
      <c r="M310" s="6">
        <v>1.5270000000000001E-2</v>
      </c>
      <c r="N310" s="6" t="s">
        <v>20</v>
      </c>
    </row>
    <row r="311" spans="1:14" ht="17" x14ac:dyDescent="0.35">
      <c r="A311" s="9">
        <v>112.98</v>
      </c>
      <c r="B311" s="11">
        <v>17.350000000000001</v>
      </c>
      <c r="C311" s="6">
        <v>2.72</v>
      </c>
      <c r="D311" s="6">
        <v>0.36764000000000002</v>
      </c>
      <c r="E311" s="6">
        <v>1.7104999999999999</v>
      </c>
      <c r="F311" s="6">
        <v>2.3483999999999998</v>
      </c>
      <c r="G311" s="6">
        <v>133.61000000000001</v>
      </c>
      <c r="H311" s="6">
        <v>26.917000000000002</v>
      </c>
      <c r="I311" s="6">
        <v>67.349000000000004</v>
      </c>
      <c r="J311" s="6">
        <v>179.16</v>
      </c>
      <c r="K311" s="6">
        <v>1.4003000000000001</v>
      </c>
      <c r="L311" s="6">
        <v>9.0823999999999998</v>
      </c>
      <c r="M311" s="6">
        <v>1.5303000000000001E-2</v>
      </c>
      <c r="N311" s="6" t="s">
        <v>20</v>
      </c>
    </row>
    <row r="312" spans="1:14" ht="17" x14ac:dyDescent="0.35">
      <c r="A312" s="9">
        <v>113.04</v>
      </c>
      <c r="B312" s="11">
        <v>17.407</v>
      </c>
      <c r="C312" s="6">
        <v>2.7307000000000001</v>
      </c>
      <c r="D312" s="6">
        <v>0.36620999999999998</v>
      </c>
      <c r="E312" s="6">
        <v>1.7096</v>
      </c>
      <c r="F312" s="6">
        <v>2.347</v>
      </c>
      <c r="G312" s="6">
        <v>133.58000000000001</v>
      </c>
      <c r="H312" s="6">
        <v>26.937999999999999</v>
      </c>
      <c r="I312" s="6">
        <v>67.584999999999994</v>
      </c>
      <c r="J312" s="6">
        <v>179.13</v>
      </c>
      <c r="K312" s="6">
        <v>1.3986000000000001</v>
      </c>
      <c r="L312" s="6">
        <v>9.0921000000000003</v>
      </c>
      <c r="M312" s="6">
        <v>1.5337E-2</v>
      </c>
      <c r="N312" s="6" t="s">
        <v>20</v>
      </c>
    </row>
    <row r="313" spans="1:14" ht="17" x14ac:dyDescent="0.35">
      <c r="A313" s="9">
        <v>113.1</v>
      </c>
      <c r="B313" s="11">
        <v>17.463000000000001</v>
      </c>
      <c r="C313" s="6">
        <v>2.7412999999999998</v>
      </c>
      <c r="D313" s="6">
        <v>0.36479</v>
      </c>
      <c r="E313" s="6">
        <v>1.7085999999999999</v>
      </c>
      <c r="F313" s="6">
        <v>2.3456999999999999</v>
      </c>
      <c r="G313" s="6">
        <v>133.55000000000001</v>
      </c>
      <c r="H313" s="6">
        <v>26.959</v>
      </c>
      <c r="I313" s="6">
        <v>67.822000000000003</v>
      </c>
      <c r="J313" s="6">
        <v>179.09</v>
      </c>
      <c r="K313" s="6">
        <v>1.3969</v>
      </c>
      <c r="L313" s="6">
        <v>9.1018000000000008</v>
      </c>
      <c r="M313" s="6">
        <v>1.537E-2</v>
      </c>
      <c r="N313" s="6" t="s">
        <v>20</v>
      </c>
    </row>
    <row r="314" spans="1:14" ht="17" x14ac:dyDescent="0.35">
      <c r="A314" s="9">
        <v>113.15</v>
      </c>
      <c r="B314" s="11">
        <v>17.518999999999998</v>
      </c>
      <c r="C314" s="6">
        <v>2.7519999999999998</v>
      </c>
      <c r="D314" s="6">
        <v>0.36337000000000003</v>
      </c>
      <c r="E314" s="6">
        <v>1.7077</v>
      </c>
      <c r="F314" s="6">
        <v>2.3443000000000001</v>
      </c>
      <c r="G314" s="6">
        <v>133.52000000000001</v>
      </c>
      <c r="H314" s="6">
        <v>26.98</v>
      </c>
      <c r="I314" s="6">
        <v>68.061000000000007</v>
      </c>
      <c r="J314" s="6">
        <v>179.05</v>
      </c>
      <c r="K314" s="6">
        <v>1.3953</v>
      </c>
      <c r="L314" s="6">
        <v>9.1115999999999993</v>
      </c>
      <c r="M314" s="6">
        <v>1.5403E-2</v>
      </c>
      <c r="N314" s="6" t="s">
        <v>20</v>
      </c>
    </row>
    <row r="315" spans="1:14" ht="17" x14ac:dyDescent="0.35">
      <c r="A315" s="9">
        <v>113.21</v>
      </c>
      <c r="B315" s="11">
        <v>17.576000000000001</v>
      </c>
      <c r="C315" s="6">
        <v>2.7627000000000002</v>
      </c>
      <c r="D315" s="6">
        <v>0.36196</v>
      </c>
      <c r="E315" s="6">
        <v>1.7067000000000001</v>
      </c>
      <c r="F315" s="6">
        <v>2.3429000000000002</v>
      </c>
      <c r="G315" s="6">
        <v>133.49</v>
      </c>
      <c r="H315" s="6">
        <v>27.001000000000001</v>
      </c>
      <c r="I315" s="6">
        <v>68.302000000000007</v>
      </c>
      <c r="J315" s="6">
        <v>179.02</v>
      </c>
      <c r="K315" s="6">
        <v>1.3935999999999999</v>
      </c>
      <c r="L315" s="6">
        <v>9.1213999999999995</v>
      </c>
      <c r="M315" s="6">
        <v>1.5436999999999999E-2</v>
      </c>
      <c r="N315" s="6" t="s">
        <v>20</v>
      </c>
    </row>
    <row r="316" spans="1:14" ht="17" x14ac:dyDescent="0.35">
      <c r="A316" s="9">
        <v>113.27</v>
      </c>
      <c r="B316" s="11">
        <v>17.632000000000001</v>
      </c>
      <c r="C316" s="6">
        <v>2.7734000000000001</v>
      </c>
      <c r="D316" s="6">
        <v>0.36055999999999999</v>
      </c>
      <c r="E316" s="6">
        <v>1.7058</v>
      </c>
      <c r="F316" s="6">
        <v>2.3414999999999999</v>
      </c>
      <c r="G316" s="6">
        <v>133.46</v>
      </c>
      <c r="H316" s="6">
        <v>27.021999999999998</v>
      </c>
      <c r="I316" s="6">
        <v>68.545000000000002</v>
      </c>
      <c r="J316" s="6">
        <v>178.98</v>
      </c>
      <c r="K316" s="6">
        <v>1.3919999999999999</v>
      </c>
      <c r="L316" s="6">
        <v>9.1311</v>
      </c>
      <c r="M316" s="6">
        <v>1.5471E-2</v>
      </c>
      <c r="N316" s="6" t="s">
        <v>20</v>
      </c>
    </row>
    <row r="317" spans="1:14" ht="17" x14ac:dyDescent="0.35">
      <c r="A317" s="9">
        <v>113.33</v>
      </c>
      <c r="B317" s="11">
        <v>17.687999999999999</v>
      </c>
      <c r="C317" s="6">
        <v>2.7841999999999998</v>
      </c>
      <c r="D317" s="6">
        <v>0.35916999999999999</v>
      </c>
      <c r="E317" s="6">
        <v>1.7048000000000001</v>
      </c>
      <c r="F317" s="6">
        <v>2.3401000000000001</v>
      </c>
      <c r="G317" s="6">
        <v>133.43</v>
      </c>
      <c r="H317" s="6">
        <v>27.042999999999999</v>
      </c>
      <c r="I317" s="6">
        <v>68.789000000000001</v>
      </c>
      <c r="J317" s="6">
        <v>178.94</v>
      </c>
      <c r="K317" s="6">
        <v>1.3903000000000001</v>
      </c>
      <c r="L317" s="6">
        <v>9.1409000000000002</v>
      </c>
      <c r="M317" s="6">
        <v>1.5505E-2</v>
      </c>
      <c r="N317" s="6" t="s">
        <v>20</v>
      </c>
    </row>
    <row r="318" spans="1:14" ht="17" x14ac:dyDescent="0.35">
      <c r="A318" s="9">
        <v>113.39</v>
      </c>
      <c r="B318" s="11">
        <v>17.744</v>
      </c>
      <c r="C318" s="6">
        <v>2.7949999999999999</v>
      </c>
      <c r="D318" s="6">
        <v>0.35779</v>
      </c>
      <c r="E318" s="6">
        <v>1.7038</v>
      </c>
      <c r="F318" s="6">
        <v>2.3386999999999998</v>
      </c>
      <c r="G318" s="6">
        <v>133.4</v>
      </c>
      <c r="H318" s="6">
        <v>27.064</v>
      </c>
      <c r="I318" s="6">
        <v>69.034999999999997</v>
      </c>
      <c r="J318" s="6">
        <v>178.9</v>
      </c>
      <c r="K318" s="6">
        <v>1.3887</v>
      </c>
      <c r="L318" s="6">
        <v>9.1507000000000005</v>
      </c>
      <c r="M318" s="6">
        <v>1.5539000000000001E-2</v>
      </c>
      <c r="N318" s="6" t="s">
        <v>20</v>
      </c>
    </row>
    <row r="319" spans="1:14" ht="17" x14ac:dyDescent="0.35">
      <c r="A319" s="9">
        <v>113.44</v>
      </c>
      <c r="B319" s="11">
        <v>17.800999999999998</v>
      </c>
      <c r="C319" s="6">
        <v>2.8058000000000001</v>
      </c>
      <c r="D319" s="6">
        <v>0.35641</v>
      </c>
      <c r="E319" s="6">
        <v>1.7029000000000001</v>
      </c>
      <c r="F319" s="6">
        <v>2.3372999999999999</v>
      </c>
      <c r="G319" s="6">
        <v>133.37</v>
      </c>
      <c r="H319" s="6">
        <v>27.085999999999999</v>
      </c>
      <c r="I319" s="6">
        <v>69.283000000000001</v>
      </c>
      <c r="J319" s="6">
        <v>178.87</v>
      </c>
      <c r="K319" s="6">
        <v>1.387</v>
      </c>
      <c r="L319" s="6">
        <v>9.1605000000000008</v>
      </c>
      <c r="M319" s="6">
        <v>1.5573E-2</v>
      </c>
      <c r="N319" s="6" t="s">
        <v>20</v>
      </c>
    </row>
    <row r="320" spans="1:14" ht="17" x14ac:dyDescent="0.35">
      <c r="A320" s="9">
        <v>113.5</v>
      </c>
      <c r="B320" s="11">
        <v>17.856999999999999</v>
      </c>
      <c r="C320" s="6">
        <v>2.8166000000000002</v>
      </c>
      <c r="D320" s="6">
        <v>0.35504000000000002</v>
      </c>
      <c r="E320" s="6">
        <v>1.7019</v>
      </c>
      <c r="F320" s="6">
        <v>2.3359000000000001</v>
      </c>
      <c r="G320" s="6">
        <v>133.34</v>
      </c>
      <c r="H320" s="6">
        <v>27.106999999999999</v>
      </c>
      <c r="I320" s="6">
        <v>69.533000000000001</v>
      </c>
      <c r="J320" s="6">
        <v>178.83</v>
      </c>
      <c r="K320" s="6">
        <v>1.3854</v>
      </c>
      <c r="L320" s="6">
        <v>9.1702999999999992</v>
      </c>
      <c r="M320" s="6">
        <v>1.5606999999999999E-2</v>
      </c>
      <c r="N320" s="6" t="s">
        <v>20</v>
      </c>
    </row>
    <row r="321" spans="1:14" ht="17" x14ac:dyDescent="0.35">
      <c r="A321" s="9">
        <v>113.56</v>
      </c>
      <c r="B321" s="11">
        <v>17.913</v>
      </c>
      <c r="C321" s="6">
        <v>2.8273999999999999</v>
      </c>
      <c r="D321" s="6">
        <v>0.35367999999999999</v>
      </c>
      <c r="E321" s="6">
        <v>1.7009000000000001</v>
      </c>
      <c r="F321" s="6">
        <v>2.3344</v>
      </c>
      <c r="G321" s="6">
        <v>133.31</v>
      </c>
      <c r="H321" s="6">
        <v>27.129000000000001</v>
      </c>
      <c r="I321" s="6">
        <v>69.784000000000006</v>
      </c>
      <c r="J321" s="6">
        <v>178.79</v>
      </c>
      <c r="K321" s="6">
        <v>1.3836999999999999</v>
      </c>
      <c r="L321" s="6">
        <v>9.1801999999999992</v>
      </c>
      <c r="M321" s="6">
        <v>1.5640999999999999E-2</v>
      </c>
      <c r="N321" s="6" t="s">
        <v>20</v>
      </c>
    </row>
    <row r="322" spans="1:14" ht="17" x14ac:dyDescent="0.35">
      <c r="A322" s="9">
        <v>113.62</v>
      </c>
      <c r="B322" s="11">
        <v>17.97</v>
      </c>
      <c r="C322" s="6">
        <v>2.8382999999999998</v>
      </c>
      <c r="D322" s="6">
        <v>0.35232999999999998</v>
      </c>
      <c r="E322" s="6">
        <v>1.6999</v>
      </c>
      <c r="F322" s="6">
        <v>2.3330000000000002</v>
      </c>
      <c r="G322" s="6">
        <v>133.28</v>
      </c>
      <c r="H322" s="6">
        <v>27.151</v>
      </c>
      <c r="I322" s="6">
        <v>70.037999999999997</v>
      </c>
      <c r="J322" s="6">
        <v>178.75</v>
      </c>
      <c r="K322" s="6">
        <v>1.3821000000000001</v>
      </c>
      <c r="L322" s="6">
        <v>9.19</v>
      </c>
      <c r="M322" s="6">
        <v>1.5675999999999999E-2</v>
      </c>
      <c r="N322" s="6" t="s">
        <v>20</v>
      </c>
    </row>
    <row r="323" spans="1:14" ht="17" x14ac:dyDescent="0.35">
      <c r="A323" s="9">
        <v>113.67</v>
      </c>
      <c r="B323" s="11">
        <v>18.026</v>
      </c>
      <c r="C323" s="6">
        <v>2.8491</v>
      </c>
      <c r="D323" s="6">
        <v>0.35098000000000001</v>
      </c>
      <c r="E323" s="6">
        <v>1.6989000000000001</v>
      </c>
      <c r="F323" s="6">
        <v>2.3315000000000001</v>
      </c>
      <c r="G323" s="6">
        <v>133.25</v>
      </c>
      <c r="H323" s="6">
        <v>27.172999999999998</v>
      </c>
      <c r="I323" s="6">
        <v>70.293000000000006</v>
      </c>
      <c r="J323" s="6">
        <v>178.71</v>
      </c>
      <c r="K323" s="6">
        <v>1.3804000000000001</v>
      </c>
      <c r="L323" s="6">
        <v>9.1998999999999995</v>
      </c>
      <c r="M323" s="6">
        <v>1.5710999999999999E-2</v>
      </c>
      <c r="N323" s="6" t="s">
        <v>20</v>
      </c>
    </row>
    <row r="324" spans="1:14" ht="17" x14ac:dyDescent="0.35">
      <c r="A324" s="9">
        <v>113.73</v>
      </c>
      <c r="B324" s="11">
        <v>18.082000000000001</v>
      </c>
      <c r="C324" s="6">
        <v>2.86</v>
      </c>
      <c r="D324" s="6">
        <v>0.34964000000000001</v>
      </c>
      <c r="E324" s="6">
        <v>1.6979</v>
      </c>
      <c r="F324" s="6">
        <v>2.3300999999999998</v>
      </c>
      <c r="G324" s="6">
        <v>133.22</v>
      </c>
      <c r="H324" s="6">
        <v>27.195</v>
      </c>
      <c r="I324" s="6">
        <v>70.551000000000002</v>
      </c>
      <c r="J324" s="6">
        <v>178.67</v>
      </c>
      <c r="K324" s="6">
        <v>1.3788</v>
      </c>
      <c r="L324" s="6">
        <v>9.2096999999999998</v>
      </c>
      <c r="M324" s="6">
        <v>1.5744999999999999E-2</v>
      </c>
      <c r="N324" s="6" t="s">
        <v>20</v>
      </c>
    </row>
    <row r="325" spans="1:14" ht="17" x14ac:dyDescent="0.35">
      <c r="A325" s="9">
        <v>113.79</v>
      </c>
      <c r="B325" s="11">
        <v>18.138000000000002</v>
      </c>
      <c r="C325" s="6">
        <v>2.871</v>
      </c>
      <c r="D325" s="6">
        <v>0.34831000000000001</v>
      </c>
      <c r="E325" s="6">
        <v>1.6968000000000001</v>
      </c>
      <c r="F325" s="6">
        <v>2.3285999999999998</v>
      </c>
      <c r="G325" s="6">
        <v>133.19</v>
      </c>
      <c r="H325" s="6">
        <v>27.216999999999999</v>
      </c>
      <c r="I325" s="6">
        <v>70.81</v>
      </c>
      <c r="J325" s="6">
        <v>178.64</v>
      </c>
      <c r="K325" s="6">
        <v>1.3771</v>
      </c>
      <c r="L325" s="6">
        <v>9.2195999999999998</v>
      </c>
      <c r="M325" s="6">
        <v>1.5779999999999999E-2</v>
      </c>
      <c r="N325" s="6" t="s">
        <v>20</v>
      </c>
    </row>
    <row r="326" spans="1:14" ht="17" x14ac:dyDescent="0.35">
      <c r="A326" s="9">
        <v>113.84</v>
      </c>
      <c r="B326" s="11">
        <v>18.195</v>
      </c>
      <c r="C326" s="6">
        <v>2.8818999999999999</v>
      </c>
      <c r="D326" s="6">
        <v>0.34699000000000002</v>
      </c>
      <c r="E326" s="6">
        <v>1.6958</v>
      </c>
      <c r="F326" s="6">
        <v>2.3271999999999999</v>
      </c>
      <c r="G326" s="6">
        <v>133.16</v>
      </c>
      <c r="H326" s="6">
        <v>27.239000000000001</v>
      </c>
      <c r="I326" s="6">
        <v>71.070999999999998</v>
      </c>
      <c r="J326" s="6">
        <v>178.6</v>
      </c>
      <c r="K326" s="6">
        <v>1.3754999999999999</v>
      </c>
      <c r="L326" s="6">
        <v>9.2294999999999998</v>
      </c>
      <c r="M326" s="6">
        <v>1.5814999999999999E-2</v>
      </c>
      <c r="N326" s="6" t="s">
        <v>20</v>
      </c>
    </row>
    <row r="327" spans="1:14" ht="17" x14ac:dyDescent="0.35">
      <c r="A327" s="9">
        <v>113.9</v>
      </c>
      <c r="B327" s="11">
        <v>18.251000000000001</v>
      </c>
      <c r="C327" s="6">
        <v>2.8929</v>
      </c>
      <c r="D327" s="6">
        <v>0.34566999999999998</v>
      </c>
      <c r="E327" s="6">
        <v>1.6948000000000001</v>
      </c>
      <c r="F327" s="6">
        <v>2.3256999999999999</v>
      </c>
      <c r="G327" s="6">
        <v>133.13</v>
      </c>
      <c r="H327" s="6">
        <v>27.260999999999999</v>
      </c>
      <c r="I327" s="6">
        <v>71.334000000000003</v>
      </c>
      <c r="J327" s="6">
        <v>178.56</v>
      </c>
      <c r="K327" s="6">
        <v>1.3737999999999999</v>
      </c>
      <c r="L327" s="6">
        <v>9.2393999999999998</v>
      </c>
      <c r="M327" s="6">
        <v>1.585E-2</v>
      </c>
      <c r="N327" s="6" t="s">
        <v>20</v>
      </c>
    </row>
    <row r="328" spans="1:14" ht="17" x14ac:dyDescent="0.35">
      <c r="A328" s="9">
        <v>113.96</v>
      </c>
      <c r="B328" s="11">
        <v>18.306999999999999</v>
      </c>
      <c r="C328" s="6">
        <v>2.9039000000000001</v>
      </c>
      <c r="D328" s="6">
        <v>0.34437000000000001</v>
      </c>
      <c r="E328" s="6">
        <v>1.6937</v>
      </c>
      <c r="F328" s="6">
        <v>2.3241999999999998</v>
      </c>
      <c r="G328" s="6">
        <v>133.1</v>
      </c>
      <c r="H328" s="6">
        <v>27.283000000000001</v>
      </c>
      <c r="I328" s="6">
        <v>71.599000000000004</v>
      </c>
      <c r="J328" s="6">
        <v>178.52</v>
      </c>
      <c r="K328" s="6">
        <v>1.3722000000000001</v>
      </c>
      <c r="L328" s="6">
        <v>9.2492999999999999</v>
      </c>
      <c r="M328" s="6">
        <v>1.5886000000000001E-2</v>
      </c>
      <c r="N328" s="6" t="s">
        <v>20</v>
      </c>
    </row>
    <row r="329" spans="1:14" ht="17" x14ac:dyDescent="0.35">
      <c r="A329" s="9">
        <v>114.01</v>
      </c>
      <c r="B329" s="11">
        <v>18.364000000000001</v>
      </c>
      <c r="C329" s="6">
        <v>2.9148999999999998</v>
      </c>
      <c r="D329" s="6">
        <v>0.34305999999999998</v>
      </c>
      <c r="E329" s="6">
        <v>1.6927000000000001</v>
      </c>
      <c r="F329" s="6">
        <v>2.3227000000000002</v>
      </c>
      <c r="G329" s="6">
        <v>133.07</v>
      </c>
      <c r="H329" s="6">
        <v>27.305</v>
      </c>
      <c r="I329" s="6">
        <v>71.866</v>
      </c>
      <c r="J329" s="6">
        <v>178.48</v>
      </c>
      <c r="K329" s="6">
        <v>1.3705000000000001</v>
      </c>
      <c r="L329" s="6">
        <v>9.2592999999999996</v>
      </c>
      <c r="M329" s="6">
        <v>1.5921000000000001E-2</v>
      </c>
      <c r="N329" s="6" t="s">
        <v>20</v>
      </c>
    </row>
    <row r="330" spans="1:14" ht="17" x14ac:dyDescent="0.35">
      <c r="A330" s="9">
        <v>114.07</v>
      </c>
      <c r="B330" s="11">
        <v>18.420000000000002</v>
      </c>
      <c r="C330" s="6">
        <v>2.9260000000000002</v>
      </c>
      <c r="D330" s="6">
        <v>0.34177000000000002</v>
      </c>
      <c r="E330" s="6">
        <v>1.6917</v>
      </c>
      <c r="F330" s="6">
        <v>2.3212000000000002</v>
      </c>
      <c r="G330" s="6">
        <v>133.04</v>
      </c>
      <c r="H330" s="6">
        <v>27.327999999999999</v>
      </c>
      <c r="I330" s="6">
        <v>72.135999999999996</v>
      </c>
      <c r="J330" s="6">
        <v>178.44</v>
      </c>
      <c r="K330" s="6">
        <v>1.3689</v>
      </c>
      <c r="L330" s="6">
        <v>9.2691999999999997</v>
      </c>
      <c r="M330" s="6">
        <v>1.5956999999999999E-2</v>
      </c>
      <c r="N330" s="6" t="s">
        <v>20</v>
      </c>
    </row>
    <row r="331" spans="1:14" ht="17" x14ac:dyDescent="0.35">
      <c r="A331" s="9">
        <v>114.12</v>
      </c>
      <c r="B331" s="11">
        <v>18.475999999999999</v>
      </c>
      <c r="C331" s="6">
        <v>2.9369999999999998</v>
      </c>
      <c r="D331" s="6">
        <v>0.34048</v>
      </c>
      <c r="E331" s="6">
        <v>1.6906000000000001</v>
      </c>
      <c r="F331" s="6">
        <v>2.3197000000000001</v>
      </c>
      <c r="G331" s="6">
        <v>133.01</v>
      </c>
      <c r="H331" s="6">
        <v>27.35</v>
      </c>
      <c r="I331" s="6">
        <v>72.406999999999996</v>
      </c>
      <c r="J331" s="6">
        <v>178.4</v>
      </c>
      <c r="K331" s="6">
        <v>1.3672</v>
      </c>
      <c r="L331" s="6">
        <v>9.2791999999999994</v>
      </c>
      <c r="M331" s="6">
        <v>1.5993E-2</v>
      </c>
      <c r="N331" s="6" t="s">
        <v>20</v>
      </c>
    </row>
    <row r="332" spans="1:14" ht="17" x14ac:dyDescent="0.35">
      <c r="A332" s="9">
        <v>114.18</v>
      </c>
      <c r="B332" s="11">
        <v>18.532</v>
      </c>
      <c r="C332" s="6">
        <v>2.9481000000000002</v>
      </c>
      <c r="D332" s="6">
        <v>0.3392</v>
      </c>
      <c r="E332" s="6">
        <v>1.6895</v>
      </c>
      <c r="F332" s="6">
        <v>2.3182</v>
      </c>
      <c r="G332" s="6">
        <v>132.97999999999999</v>
      </c>
      <c r="H332" s="6">
        <v>27.373000000000001</v>
      </c>
      <c r="I332" s="6">
        <v>72.680000000000007</v>
      </c>
      <c r="J332" s="6">
        <v>178.36</v>
      </c>
      <c r="K332" s="6">
        <v>1.3655999999999999</v>
      </c>
      <c r="L332" s="6">
        <v>9.2890999999999995</v>
      </c>
      <c r="M332" s="6">
        <v>1.6028000000000001E-2</v>
      </c>
      <c r="N332" s="6" t="s">
        <v>20</v>
      </c>
    </row>
    <row r="333" spans="1:14" ht="17" x14ac:dyDescent="0.35">
      <c r="A333" s="9">
        <v>114.24</v>
      </c>
      <c r="B333" s="11">
        <v>18.588999999999999</v>
      </c>
      <c r="C333" s="6">
        <v>2.9592000000000001</v>
      </c>
      <c r="D333" s="6">
        <v>0.33793000000000001</v>
      </c>
      <c r="E333" s="6">
        <v>1.6884999999999999</v>
      </c>
      <c r="F333" s="6">
        <v>2.3166000000000002</v>
      </c>
      <c r="G333" s="6">
        <v>132.94999999999999</v>
      </c>
      <c r="H333" s="6">
        <v>27.396000000000001</v>
      </c>
      <c r="I333" s="6">
        <v>72.954999999999998</v>
      </c>
      <c r="J333" s="6">
        <v>178.32</v>
      </c>
      <c r="K333" s="6">
        <v>1.3638999999999999</v>
      </c>
      <c r="L333" s="6">
        <v>9.2990999999999993</v>
      </c>
      <c r="M333" s="6">
        <v>1.6063999999999998E-2</v>
      </c>
      <c r="N333" s="6" t="s">
        <v>20</v>
      </c>
    </row>
    <row r="334" spans="1:14" ht="17" x14ac:dyDescent="0.35">
      <c r="A334" s="9">
        <v>114.29</v>
      </c>
      <c r="B334" s="11">
        <v>18.645</v>
      </c>
      <c r="C334" s="6">
        <v>2.9704000000000002</v>
      </c>
      <c r="D334" s="6">
        <v>0.33666000000000001</v>
      </c>
      <c r="E334" s="6">
        <v>1.6874</v>
      </c>
      <c r="F334" s="6">
        <v>2.3151000000000002</v>
      </c>
      <c r="G334" s="6">
        <v>132.91999999999999</v>
      </c>
      <c r="H334" s="6">
        <v>27.419</v>
      </c>
      <c r="I334" s="6">
        <v>73.233000000000004</v>
      </c>
      <c r="J334" s="6">
        <v>178.28</v>
      </c>
      <c r="K334" s="6">
        <v>1.3623000000000001</v>
      </c>
      <c r="L334" s="6">
        <v>9.3091000000000008</v>
      </c>
      <c r="M334" s="6">
        <v>1.6101000000000001E-2</v>
      </c>
      <c r="N334" s="6" t="s">
        <v>20</v>
      </c>
    </row>
    <row r="335" spans="1:14" ht="17" x14ac:dyDescent="0.35">
      <c r="A335" s="9">
        <v>114.35</v>
      </c>
      <c r="B335" s="11">
        <v>18.701000000000001</v>
      </c>
      <c r="C335" s="6">
        <v>2.9815</v>
      </c>
      <c r="D335" s="6">
        <v>0.33539999999999998</v>
      </c>
      <c r="E335" s="6">
        <v>1.6862999999999999</v>
      </c>
      <c r="F335" s="6">
        <v>2.3136000000000001</v>
      </c>
      <c r="G335" s="6">
        <v>132.88999999999999</v>
      </c>
      <c r="H335" s="6">
        <v>27.440999999999999</v>
      </c>
      <c r="I335" s="6">
        <v>73.513000000000005</v>
      </c>
      <c r="J335" s="6">
        <v>178.24</v>
      </c>
      <c r="K335" s="6">
        <v>1.3606</v>
      </c>
      <c r="L335" s="6">
        <v>9.3192000000000004</v>
      </c>
      <c r="M335" s="6">
        <v>1.6136999999999999E-2</v>
      </c>
      <c r="N335" s="6" t="s">
        <v>20</v>
      </c>
    </row>
    <row r="336" spans="1:14" ht="17" x14ac:dyDescent="0.35">
      <c r="A336" s="9">
        <v>114.4</v>
      </c>
      <c r="B336" s="11">
        <v>18.757999999999999</v>
      </c>
      <c r="C336" s="6">
        <v>2.9927000000000001</v>
      </c>
      <c r="D336" s="6">
        <v>0.33413999999999999</v>
      </c>
      <c r="E336" s="6">
        <v>1.6852</v>
      </c>
      <c r="F336" s="6">
        <v>2.3119999999999998</v>
      </c>
      <c r="G336" s="6">
        <v>132.86000000000001</v>
      </c>
      <c r="H336" s="6">
        <v>27.465</v>
      </c>
      <c r="I336" s="6">
        <v>73.795000000000002</v>
      </c>
      <c r="J336" s="6">
        <v>178.2</v>
      </c>
      <c r="K336" s="6">
        <v>1.3589</v>
      </c>
      <c r="L336" s="6">
        <v>9.3292000000000002</v>
      </c>
      <c r="M336" s="6">
        <v>1.6173E-2</v>
      </c>
      <c r="N336" s="6" t="s">
        <v>20</v>
      </c>
    </row>
    <row r="337" spans="1:14" ht="17" x14ac:dyDescent="0.35">
      <c r="A337" s="9">
        <v>114.46</v>
      </c>
      <c r="B337" s="11">
        <v>18.814</v>
      </c>
      <c r="C337" s="6">
        <v>3.0038999999999998</v>
      </c>
      <c r="D337" s="6">
        <v>0.33289999999999997</v>
      </c>
      <c r="E337" s="6">
        <v>1.6840999999999999</v>
      </c>
      <c r="F337" s="6">
        <v>2.3104</v>
      </c>
      <c r="G337" s="6">
        <v>132.83000000000001</v>
      </c>
      <c r="H337" s="6">
        <v>27.488</v>
      </c>
      <c r="I337" s="6">
        <v>74.078999999999994</v>
      </c>
      <c r="J337" s="6">
        <v>178.16</v>
      </c>
      <c r="K337" s="6">
        <v>1.3573</v>
      </c>
      <c r="L337" s="6">
        <v>9.3391999999999999</v>
      </c>
      <c r="M337" s="6">
        <v>1.6209999999999999E-2</v>
      </c>
      <c r="N337" s="6" t="s">
        <v>20</v>
      </c>
    </row>
    <row r="338" spans="1:14" ht="17" x14ac:dyDescent="0.35">
      <c r="A338" s="9">
        <v>114.51</v>
      </c>
      <c r="B338" s="11">
        <v>18.87</v>
      </c>
      <c r="C338" s="6">
        <v>3.0152000000000001</v>
      </c>
      <c r="D338" s="6">
        <v>0.33166000000000001</v>
      </c>
      <c r="E338" s="6">
        <v>1.6830000000000001</v>
      </c>
      <c r="F338" s="6">
        <v>2.3089</v>
      </c>
      <c r="G338" s="6">
        <v>132.80000000000001</v>
      </c>
      <c r="H338" s="6">
        <v>27.510999999999999</v>
      </c>
      <c r="I338" s="6">
        <v>74.364999999999995</v>
      </c>
      <c r="J338" s="6">
        <v>178.12</v>
      </c>
      <c r="K338" s="6">
        <v>1.3555999999999999</v>
      </c>
      <c r="L338" s="6">
        <v>9.3492999999999995</v>
      </c>
      <c r="M338" s="6">
        <v>1.6247000000000001E-2</v>
      </c>
      <c r="N338" s="6" t="s">
        <v>20</v>
      </c>
    </row>
    <row r="339" spans="1:14" ht="17" x14ac:dyDescent="0.35">
      <c r="A339" s="9">
        <v>114.57</v>
      </c>
      <c r="B339" s="11">
        <v>18.927</v>
      </c>
      <c r="C339" s="6">
        <v>3.0264000000000002</v>
      </c>
      <c r="D339" s="6">
        <v>0.33041999999999999</v>
      </c>
      <c r="E339" s="6">
        <v>1.6819</v>
      </c>
      <c r="F339" s="6">
        <v>2.3073000000000001</v>
      </c>
      <c r="G339" s="6">
        <v>132.77000000000001</v>
      </c>
      <c r="H339" s="6">
        <v>27.533999999999999</v>
      </c>
      <c r="I339" s="6">
        <v>74.653000000000006</v>
      </c>
      <c r="J339" s="6">
        <v>178.08</v>
      </c>
      <c r="K339" s="6">
        <v>1.3540000000000001</v>
      </c>
      <c r="L339" s="6">
        <v>9.3594000000000008</v>
      </c>
      <c r="M339" s="6">
        <v>1.6284E-2</v>
      </c>
      <c r="N339" s="6" t="s">
        <v>20</v>
      </c>
    </row>
    <row r="340" spans="1:14" ht="17" x14ac:dyDescent="0.35">
      <c r="A340" s="9">
        <v>114.62</v>
      </c>
      <c r="B340" s="11">
        <v>18.983000000000001</v>
      </c>
      <c r="C340" s="6">
        <v>3.0377000000000001</v>
      </c>
      <c r="D340" s="6">
        <v>0.32918999999999998</v>
      </c>
      <c r="E340" s="6">
        <v>1.6808000000000001</v>
      </c>
      <c r="F340" s="6">
        <v>2.3056999999999999</v>
      </c>
      <c r="G340" s="6">
        <v>132.74</v>
      </c>
      <c r="H340" s="6">
        <v>27.558</v>
      </c>
      <c r="I340" s="6">
        <v>74.944000000000003</v>
      </c>
      <c r="J340" s="6">
        <v>178.04</v>
      </c>
      <c r="K340" s="6">
        <v>1.3523000000000001</v>
      </c>
      <c r="L340" s="6">
        <v>9.3695000000000004</v>
      </c>
      <c r="M340" s="6">
        <v>1.6320999999999999E-2</v>
      </c>
      <c r="N340" s="6" t="s">
        <v>20</v>
      </c>
    </row>
    <row r="341" spans="1:14" ht="17" x14ac:dyDescent="0.35">
      <c r="A341" s="9">
        <v>114.68</v>
      </c>
      <c r="B341" s="11">
        <v>19.039000000000001</v>
      </c>
      <c r="C341" s="6">
        <v>3.0489999999999999</v>
      </c>
      <c r="D341" s="6">
        <v>0.32796999999999998</v>
      </c>
      <c r="E341" s="6">
        <v>1.6797</v>
      </c>
      <c r="F341" s="6">
        <v>2.3041</v>
      </c>
      <c r="G341" s="6">
        <v>132.71</v>
      </c>
      <c r="H341" s="6">
        <v>27.581</v>
      </c>
      <c r="I341" s="6">
        <v>75.236999999999995</v>
      </c>
      <c r="J341" s="6">
        <v>177.99</v>
      </c>
      <c r="K341" s="6">
        <v>1.3507</v>
      </c>
      <c r="L341" s="6">
        <v>9.3795999999999999</v>
      </c>
      <c r="M341" s="6">
        <v>1.6358000000000001E-2</v>
      </c>
      <c r="N341" s="6" t="s">
        <v>20</v>
      </c>
    </row>
    <row r="342" spans="1:14" ht="17" x14ac:dyDescent="0.35">
      <c r="A342" s="9">
        <v>114.73</v>
      </c>
      <c r="B342" s="11">
        <v>19.094999999999999</v>
      </c>
      <c r="C342" s="6">
        <v>3.0604</v>
      </c>
      <c r="D342" s="6">
        <v>0.32675999999999999</v>
      </c>
      <c r="E342" s="6">
        <v>1.6786000000000001</v>
      </c>
      <c r="F342" s="6">
        <v>2.3025000000000002</v>
      </c>
      <c r="G342" s="6">
        <v>132.68</v>
      </c>
      <c r="H342" s="6">
        <v>27.605</v>
      </c>
      <c r="I342" s="6">
        <v>75.533000000000001</v>
      </c>
      <c r="J342" s="6">
        <v>177.95</v>
      </c>
      <c r="K342" s="6">
        <v>1.349</v>
      </c>
      <c r="L342" s="6">
        <v>9.3896999999999995</v>
      </c>
      <c r="M342" s="6">
        <v>1.6395E-2</v>
      </c>
      <c r="N342" s="6" t="s">
        <v>20</v>
      </c>
    </row>
    <row r="343" spans="1:14" ht="17" x14ac:dyDescent="0.35">
      <c r="A343" s="9">
        <v>114.79</v>
      </c>
      <c r="B343" s="11">
        <v>19.152000000000001</v>
      </c>
      <c r="C343" s="6">
        <v>3.0716999999999999</v>
      </c>
      <c r="D343" s="6">
        <v>0.32555000000000001</v>
      </c>
      <c r="E343" s="6">
        <v>1.6774</v>
      </c>
      <c r="F343" s="6">
        <v>2.3008999999999999</v>
      </c>
      <c r="G343" s="6">
        <v>132.65</v>
      </c>
      <c r="H343" s="6">
        <v>27.628</v>
      </c>
      <c r="I343" s="6">
        <v>75.83</v>
      </c>
      <c r="J343" s="6">
        <v>177.91</v>
      </c>
      <c r="K343" s="6">
        <v>1.3473999999999999</v>
      </c>
      <c r="L343" s="6">
        <v>9.3999000000000006</v>
      </c>
      <c r="M343" s="6">
        <v>1.6433E-2</v>
      </c>
      <c r="N343" s="6" t="s">
        <v>20</v>
      </c>
    </row>
    <row r="344" spans="1:14" ht="17" x14ac:dyDescent="0.35">
      <c r="A344" s="9">
        <v>114.84</v>
      </c>
      <c r="B344" s="11">
        <v>19.207999999999998</v>
      </c>
      <c r="C344" s="6">
        <v>3.0831</v>
      </c>
      <c r="D344" s="6">
        <v>0.32435000000000003</v>
      </c>
      <c r="E344" s="6">
        <v>1.6762999999999999</v>
      </c>
      <c r="F344" s="6">
        <v>2.2993000000000001</v>
      </c>
      <c r="G344" s="6">
        <v>132.62</v>
      </c>
      <c r="H344" s="6">
        <v>27.652000000000001</v>
      </c>
      <c r="I344" s="6">
        <v>76.13</v>
      </c>
      <c r="J344" s="6">
        <v>177.87</v>
      </c>
      <c r="K344" s="6">
        <v>1.3456999999999999</v>
      </c>
      <c r="L344" s="6">
        <v>9.41</v>
      </c>
      <c r="M344" s="6">
        <v>1.6469999999999999E-2</v>
      </c>
      <c r="N344" s="6" t="s">
        <v>20</v>
      </c>
    </row>
    <row r="345" spans="1:14" ht="17" x14ac:dyDescent="0.35">
      <c r="A345" s="9">
        <v>114.9</v>
      </c>
      <c r="B345" s="11">
        <v>19.263999999999999</v>
      </c>
      <c r="C345" s="6">
        <v>3.0945</v>
      </c>
      <c r="D345" s="6">
        <v>0.32314999999999999</v>
      </c>
      <c r="E345" s="6">
        <v>1.6752</v>
      </c>
      <c r="F345" s="6">
        <v>2.2976999999999999</v>
      </c>
      <c r="G345" s="6">
        <v>132.59</v>
      </c>
      <c r="H345" s="6">
        <v>27.675999999999998</v>
      </c>
      <c r="I345" s="6">
        <v>76.433000000000007</v>
      </c>
      <c r="J345" s="6">
        <v>177.83</v>
      </c>
      <c r="K345" s="6">
        <v>1.3441000000000001</v>
      </c>
      <c r="L345" s="6">
        <v>9.4201999999999995</v>
      </c>
      <c r="M345" s="6">
        <v>1.6507999999999998E-2</v>
      </c>
      <c r="N345" s="6" t="s">
        <v>20</v>
      </c>
    </row>
    <row r="346" spans="1:14" ht="17" x14ac:dyDescent="0.35">
      <c r="A346" s="9">
        <v>114.95</v>
      </c>
      <c r="B346" s="11">
        <v>19.321000000000002</v>
      </c>
      <c r="C346" s="6">
        <v>3.1059999999999999</v>
      </c>
      <c r="D346" s="6">
        <v>0.32196000000000002</v>
      </c>
      <c r="E346" s="6">
        <v>1.6739999999999999</v>
      </c>
      <c r="F346" s="6">
        <v>2.2961</v>
      </c>
      <c r="G346" s="6">
        <v>132.56</v>
      </c>
      <c r="H346" s="6">
        <v>27.7</v>
      </c>
      <c r="I346" s="6">
        <v>76.738</v>
      </c>
      <c r="J346" s="6">
        <v>177.79</v>
      </c>
      <c r="K346" s="6">
        <v>1.3424</v>
      </c>
      <c r="L346" s="6">
        <v>9.4304000000000006</v>
      </c>
      <c r="M346" s="6">
        <v>1.6546000000000002E-2</v>
      </c>
      <c r="N346" s="6" t="s">
        <v>20</v>
      </c>
    </row>
    <row r="347" spans="1:14" ht="17" x14ac:dyDescent="0.35">
      <c r="A347" s="9">
        <v>115.01</v>
      </c>
      <c r="B347" s="11">
        <v>19.376999999999999</v>
      </c>
      <c r="C347" s="6">
        <v>3.1175000000000002</v>
      </c>
      <c r="D347" s="6">
        <v>0.32077</v>
      </c>
      <c r="E347" s="6">
        <v>1.6729000000000001</v>
      </c>
      <c r="F347" s="6">
        <v>2.2944</v>
      </c>
      <c r="G347" s="6">
        <v>132.53</v>
      </c>
      <c r="H347" s="6">
        <v>27.724</v>
      </c>
      <c r="I347" s="6">
        <v>77.045000000000002</v>
      </c>
      <c r="J347" s="6">
        <v>177.74</v>
      </c>
      <c r="K347" s="6">
        <v>1.3408</v>
      </c>
      <c r="L347" s="6">
        <v>9.4405999999999999</v>
      </c>
      <c r="M347" s="6">
        <v>1.6584000000000002E-2</v>
      </c>
      <c r="N347" s="6" t="s">
        <v>20</v>
      </c>
    </row>
    <row r="348" spans="1:14" ht="17" x14ac:dyDescent="0.35">
      <c r="A348" s="9">
        <v>115.06</v>
      </c>
      <c r="B348" s="11">
        <v>19.433</v>
      </c>
      <c r="C348" s="6">
        <v>3.129</v>
      </c>
      <c r="D348" s="6">
        <v>0.3196</v>
      </c>
      <c r="E348" s="6">
        <v>1.6717</v>
      </c>
      <c r="F348" s="6">
        <v>2.2928000000000002</v>
      </c>
      <c r="G348" s="6">
        <v>132.5</v>
      </c>
      <c r="H348" s="6">
        <v>27.748000000000001</v>
      </c>
      <c r="I348" s="6">
        <v>77.355000000000004</v>
      </c>
      <c r="J348" s="6">
        <v>177.7</v>
      </c>
      <c r="K348" s="6">
        <v>1.3391</v>
      </c>
      <c r="L348" s="6">
        <v>9.4509000000000007</v>
      </c>
      <c r="M348" s="6">
        <v>1.6622999999999999E-2</v>
      </c>
      <c r="N348" s="6" t="s">
        <v>20</v>
      </c>
    </row>
    <row r="349" spans="1:14" ht="17" x14ac:dyDescent="0.35">
      <c r="A349" s="9">
        <v>115.11</v>
      </c>
      <c r="B349" s="11">
        <v>19.489000000000001</v>
      </c>
      <c r="C349" s="6">
        <v>3.1404999999999998</v>
      </c>
      <c r="D349" s="6">
        <v>0.31841999999999998</v>
      </c>
      <c r="E349" s="6">
        <v>1.6705000000000001</v>
      </c>
      <c r="F349" s="6">
        <v>2.2911000000000001</v>
      </c>
      <c r="G349" s="6">
        <v>132.47</v>
      </c>
      <c r="H349" s="6">
        <v>27.771999999999998</v>
      </c>
      <c r="I349" s="6">
        <v>77.667000000000002</v>
      </c>
      <c r="J349" s="6">
        <v>177.66</v>
      </c>
      <c r="K349" s="6">
        <v>1.3373999999999999</v>
      </c>
      <c r="L349" s="6">
        <v>9.4611000000000001</v>
      </c>
      <c r="M349" s="6">
        <v>1.6660999999999999E-2</v>
      </c>
      <c r="N349" s="6" t="s">
        <v>20</v>
      </c>
    </row>
    <row r="350" spans="1:14" ht="17" x14ac:dyDescent="0.35">
      <c r="A350" s="9">
        <v>115.17</v>
      </c>
      <c r="B350" s="11">
        <v>19.545999999999999</v>
      </c>
      <c r="C350" s="6">
        <v>3.1520000000000001</v>
      </c>
      <c r="D350" s="6">
        <v>0.31725999999999999</v>
      </c>
      <c r="E350" s="6">
        <v>1.6693</v>
      </c>
      <c r="F350" s="6">
        <v>2.2894000000000001</v>
      </c>
      <c r="G350" s="6">
        <v>132.44</v>
      </c>
      <c r="H350" s="6">
        <v>27.797000000000001</v>
      </c>
      <c r="I350" s="6">
        <v>77.981999999999999</v>
      </c>
      <c r="J350" s="6">
        <v>177.62</v>
      </c>
      <c r="K350" s="6">
        <v>1.3358000000000001</v>
      </c>
      <c r="L350" s="6">
        <v>9.4713999999999992</v>
      </c>
      <c r="M350" s="6">
        <v>1.67E-2</v>
      </c>
      <c r="N350" s="6" t="s">
        <v>20</v>
      </c>
    </row>
    <row r="351" spans="1:14" ht="17" x14ac:dyDescent="0.35">
      <c r="A351" s="9">
        <v>115.22</v>
      </c>
      <c r="B351" s="11">
        <v>19.602</v>
      </c>
      <c r="C351" s="6">
        <v>3.1636000000000002</v>
      </c>
      <c r="D351" s="6">
        <v>0.31608999999999998</v>
      </c>
      <c r="E351" s="6">
        <v>1.6681999999999999</v>
      </c>
      <c r="F351" s="6">
        <v>2.2877999999999998</v>
      </c>
      <c r="G351" s="6">
        <v>132.41</v>
      </c>
      <c r="H351" s="6">
        <v>27.821000000000002</v>
      </c>
      <c r="I351" s="6">
        <v>78.3</v>
      </c>
      <c r="J351" s="6">
        <v>177.57</v>
      </c>
      <c r="K351" s="6">
        <v>1.3341000000000001</v>
      </c>
      <c r="L351" s="6">
        <v>9.4817</v>
      </c>
      <c r="M351" s="6">
        <v>1.6739E-2</v>
      </c>
      <c r="N351" s="6" t="s">
        <v>20</v>
      </c>
    </row>
    <row r="352" spans="1:14" ht="17" x14ac:dyDescent="0.35">
      <c r="A352" s="9">
        <v>115.28</v>
      </c>
      <c r="B352" s="11">
        <v>19.658000000000001</v>
      </c>
      <c r="C352" s="6">
        <v>3.1751999999999998</v>
      </c>
      <c r="D352" s="6">
        <v>0.31494</v>
      </c>
      <c r="E352" s="6">
        <v>1.667</v>
      </c>
      <c r="F352" s="6">
        <v>2.2860999999999998</v>
      </c>
      <c r="G352" s="6">
        <v>132.38</v>
      </c>
      <c r="H352" s="6">
        <v>27.846</v>
      </c>
      <c r="I352" s="6">
        <v>78.62</v>
      </c>
      <c r="J352" s="6">
        <v>177.53</v>
      </c>
      <c r="K352" s="6">
        <v>1.3325</v>
      </c>
      <c r="L352" s="6">
        <v>9.4920000000000009</v>
      </c>
      <c r="M352" s="6">
        <v>1.6778000000000001E-2</v>
      </c>
      <c r="N352" s="6" t="s">
        <v>20</v>
      </c>
    </row>
    <row r="353" spans="1:14" ht="17" x14ac:dyDescent="0.35">
      <c r="A353" s="9">
        <v>115.33</v>
      </c>
      <c r="B353" s="11">
        <v>19.715</v>
      </c>
      <c r="C353" s="6">
        <v>3.1867999999999999</v>
      </c>
      <c r="D353" s="6">
        <v>0.31379000000000001</v>
      </c>
      <c r="E353" s="6">
        <v>1.6657999999999999</v>
      </c>
      <c r="F353" s="6">
        <v>2.2844000000000002</v>
      </c>
      <c r="G353" s="6">
        <v>132.35</v>
      </c>
      <c r="H353" s="6">
        <v>27.870999999999999</v>
      </c>
      <c r="I353" s="6">
        <v>78.942999999999998</v>
      </c>
      <c r="J353" s="6">
        <v>177.49</v>
      </c>
      <c r="K353" s="6">
        <v>1.3308</v>
      </c>
      <c r="L353" s="6">
        <v>9.5023</v>
      </c>
      <c r="M353" s="6">
        <v>1.6816999999999999E-2</v>
      </c>
      <c r="N353" s="6" t="s">
        <v>20</v>
      </c>
    </row>
    <row r="354" spans="1:14" ht="17" x14ac:dyDescent="0.35">
      <c r="A354" s="9">
        <v>115.38</v>
      </c>
      <c r="B354" s="11">
        <v>19.771000000000001</v>
      </c>
      <c r="C354" s="6">
        <v>3.1985000000000001</v>
      </c>
      <c r="D354" s="6">
        <v>0.31264999999999998</v>
      </c>
      <c r="E354" s="6">
        <v>1.6646000000000001</v>
      </c>
      <c r="F354" s="6">
        <v>2.2827000000000002</v>
      </c>
      <c r="G354" s="6">
        <v>132.32</v>
      </c>
      <c r="H354" s="6">
        <v>27.895</v>
      </c>
      <c r="I354" s="6">
        <v>79.268000000000001</v>
      </c>
      <c r="J354" s="6">
        <v>177.44</v>
      </c>
      <c r="K354" s="6">
        <v>1.3291999999999999</v>
      </c>
      <c r="L354" s="6">
        <v>9.5126000000000008</v>
      </c>
      <c r="M354" s="6">
        <v>1.6855999999999999E-2</v>
      </c>
      <c r="N354" s="6" t="s">
        <v>20</v>
      </c>
    </row>
    <row r="355" spans="1:14" ht="17" x14ac:dyDescent="0.35">
      <c r="A355" s="9">
        <v>115.44</v>
      </c>
      <c r="B355" s="11">
        <v>19.827000000000002</v>
      </c>
      <c r="C355" s="6">
        <v>3.2101999999999999</v>
      </c>
      <c r="D355" s="6">
        <v>0.31151000000000001</v>
      </c>
      <c r="E355" s="6">
        <v>1.6634</v>
      </c>
      <c r="F355" s="6">
        <v>2.2810000000000001</v>
      </c>
      <c r="G355" s="6">
        <v>132.29</v>
      </c>
      <c r="H355" s="6">
        <v>27.92</v>
      </c>
      <c r="I355" s="6">
        <v>79.596000000000004</v>
      </c>
      <c r="J355" s="6">
        <v>177.4</v>
      </c>
      <c r="K355" s="6">
        <v>1.3274999999999999</v>
      </c>
      <c r="L355" s="6">
        <v>9.5229999999999997</v>
      </c>
      <c r="M355" s="6">
        <v>1.6896000000000001E-2</v>
      </c>
      <c r="N355" s="6" t="s">
        <v>20</v>
      </c>
    </row>
    <row r="356" spans="1:14" ht="17" x14ac:dyDescent="0.35">
      <c r="A356" s="9">
        <v>115.49</v>
      </c>
      <c r="B356" s="11">
        <v>19.882999999999999</v>
      </c>
      <c r="C356" s="6">
        <v>3.2219000000000002</v>
      </c>
      <c r="D356" s="6">
        <v>0.31037999999999999</v>
      </c>
      <c r="E356" s="6">
        <v>1.6620999999999999</v>
      </c>
      <c r="F356" s="6">
        <v>2.2793000000000001</v>
      </c>
      <c r="G356" s="6">
        <v>132.26</v>
      </c>
      <c r="H356" s="6">
        <v>27.945</v>
      </c>
      <c r="I356" s="6">
        <v>79.927000000000007</v>
      </c>
      <c r="J356" s="6">
        <v>177.36</v>
      </c>
      <c r="K356" s="6">
        <v>1.3258000000000001</v>
      </c>
      <c r="L356" s="6">
        <v>9.5334000000000003</v>
      </c>
      <c r="M356" s="6">
        <v>1.6934999999999999E-2</v>
      </c>
      <c r="N356" s="6" t="s">
        <v>20</v>
      </c>
    </row>
    <row r="357" spans="1:14" ht="17" x14ac:dyDescent="0.35">
      <c r="A357" s="9">
        <v>115.54</v>
      </c>
      <c r="B357" s="11">
        <v>19.940000000000001</v>
      </c>
      <c r="C357" s="6">
        <v>3.2336</v>
      </c>
      <c r="D357" s="6">
        <v>0.30925000000000002</v>
      </c>
      <c r="E357" s="6">
        <v>1.6609</v>
      </c>
      <c r="F357" s="6">
        <v>2.2776000000000001</v>
      </c>
      <c r="G357" s="6">
        <v>132.22999999999999</v>
      </c>
      <c r="H357" s="6">
        <v>27.97</v>
      </c>
      <c r="I357" s="6">
        <v>80.260000000000005</v>
      </c>
      <c r="J357" s="6">
        <v>177.31</v>
      </c>
      <c r="K357" s="6">
        <v>1.3242</v>
      </c>
      <c r="L357" s="6">
        <v>9.5437999999999992</v>
      </c>
      <c r="M357" s="6">
        <v>1.6975000000000001E-2</v>
      </c>
      <c r="N357" s="6" t="s">
        <v>20</v>
      </c>
    </row>
    <row r="358" spans="1:14" ht="17" x14ac:dyDescent="0.35">
      <c r="A358" s="9">
        <v>115.59</v>
      </c>
      <c r="B358" s="11">
        <v>19.995999999999999</v>
      </c>
      <c r="C358" s="6">
        <v>3.2454000000000001</v>
      </c>
      <c r="D358" s="6">
        <v>0.30813000000000001</v>
      </c>
      <c r="E358" s="6">
        <v>1.6597</v>
      </c>
      <c r="F358" s="6">
        <v>2.2757999999999998</v>
      </c>
      <c r="G358" s="6">
        <v>132.19999999999999</v>
      </c>
      <c r="H358" s="6">
        <v>27.995000000000001</v>
      </c>
      <c r="I358" s="6">
        <v>80.596999999999994</v>
      </c>
      <c r="J358" s="6">
        <v>177.27</v>
      </c>
      <c r="K358" s="6">
        <v>1.3225</v>
      </c>
      <c r="L358" s="6">
        <v>9.5541999999999998</v>
      </c>
      <c r="M358" s="6">
        <v>1.7014999999999999E-2</v>
      </c>
      <c r="N358" s="6" t="s">
        <v>20</v>
      </c>
    </row>
    <row r="359" spans="1:14" ht="17" x14ac:dyDescent="0.35">
      <c r="A359" s="9">
        <v>115.65</v>
      </c>
      <c r="B359" s="11">
        <v>20.052</v>
      </c>
      <c r="C359" s="6">
        <v>3.2572000000000001</v>
      </c>
      <c r="D359" s="6">
        <v>0.30701000000000001</v>
      </c>
      <c r="E359" s="6">
        <v>1.6585000000000001</v>
      </c>
      <c r="F359" s="6">
        <v>2.2740999999999998</v>
      </c>
      <c r="G359" s="6">
        <v>132.16999999999999</v>
      </c>
      <c r="H359" s="6">
        <v>28.021000000000001</v>
      </c>
      <c r="I359" s="6">
        <v>80.936000000000007</v>
      </c>
      <c r="J359" s="6">
        <v>177.23</v>
      </c>
      <c r="K359" s="6">
        <v>1.3208</v>
      </c>
      <c r="L359" s="6">
        <v>9.5646000000000004</v>
      </c>
      <c r="M359" s="6">
        <v>1.7056000000000002E-2</v>
      </c>
      <c r="N359" s="6" t="s">
        <v>20</v>
      </c>
    </row>
    <row r="360" spans="1:14" ht="17" x14ac:dyDescent="0.35">
      <c r="A360" s="9">
        <v>115.7</v>
      </c>
      <c r="B360" s="11">
        <v>20.109000000000002</v>
      </c>
      <c r="C360" s="6">
        <v>3.2690000000000001</v>
      </c>
      <c r="D360" s="6">
        <v>0.30590000000000001</v>
      </c>
      <c r="E360" s="6">
        <v>1.6572</v>
      </c>
      <c r="F360" s="6">
        <v>2.2723</v>
      </c>
      <c r="G360" s="6">
        <v>132.13999999999999</v>
      </c>
      <c r="H360" s="6">
        <v>28.045999999999999</v>
      </c>
      <c r="I360" s="6">
        <v>81.278000000000006</v>
      </c>
      <c r="J360" s="6">
        <v>177.18</v>
      </c>
      <c r="K360" s="6">
        <v>1.3191999999999999</v>
      </c>
      <c r="L360" s="6">
        <v>9.5751000000000008</v>
      </c>
      <c r="M360" s="6">
        <v>1.7096E-2</v>
      </c>
      <c r="N360" s="6" t="s">
        <v>20</v>
      </c>
    </row>
    <row r="361" spans="1:14" ht="17" x14ac:dyDescent="0.35">
      <c r="A361" s="9">
        <v>115.75</v>
      </c>
      <c r="B361" s="11">
        <v>20.164999999999999</v>
      </c>
      <c r="C361" s="6">
        <v>3.2808999999999999</v>
      </c>
      <c r="D361" s="6">
        <v>0.30479000000000001</v>
      </c>
      <c r="E361" s="6">
        <v>1.6559999999999999</v>
      </c>
      <c r="F361" s="6">
        <v>2.2706</v>
      </c>
      <c r="G361" s="6">
        <v>132.11000000000001</v>
      </c>
      <c r="H361" s="6">
        <v>28.071999999999999</v>
      </c>
      <c r="I361" s="6">
        <v>81.623000000000005</v>
      </c>
      <c r="J361" s="6">
        <v>177.14</v>
      </c>
      <c r="K361" s="6">
        <v>1.3174999999999999</v>
      </c>
      <c r="L361" s="6">
        <v>9.5855999999999995</v>
      </c>
      <c r="M361" s="6">
        <v>1.7136999999999999E-2</v>
      </c>
      <c r="N361" s="6" t="s">
        <v>20</v>
      </c>
    </row>
    <row r="362" spans="1:14" ht="17" x14ac:dyDescent="0.35">
      <c r="A362" s="9">
        <v>115.81</v>
      </c>
      <c r="B362" s="11">
        <v>20.221</v>
      </c>
      <c r="C362" s="6">
        <v>3.2928000000000002</v>
      </c>
      <c r="D362" s="6">
        <v>0.30369000000000002</v>
      </c>
      <c r="E362" s="6">
        <v>1.6547000000000001</v>
      </c>
      <c r="F362" s="6">
        <v>2.2688000000000001</v>
      </c>
      <c r="G362" s="6">
        <v>132.08000000000001</v>
      </c>
      <c r="H362" s="6">
        <v>28.097000000000001</v>
      </c>
      <c r="I362" s="6">
        <v>81.971000000000004</v>
      </c>
      <c r="J362" s="6">
        <v>177.09</v>
      </c>
      <c r="K362" s="6">
        <v>1.3158000000000001</v>
      </c>
      <c r="L362" s="6">
        <v>9.5960999999999999</v>
      </c>
      <c r="M362" s="6">
        <v>1.7177000000000001E-2</v>
      </c>
      <c r="N362" s="6" t="s">
        <v>20</v>
      </c>
    </row>
    <row r="363" spans="1:14" ht="17" x14ac:dyDescent="0.35">
      <c r="A363" s="9">
        <v>115.86</v>
      </c>
      <c r="B363" s="11">
        <v>20.277000000000001</v>
      </c>
      <c r="C363" s="6">
        <v>3.3047</v>
      </c>
      <c r="D363" s="6">
        <v>0.30259999999999998</v>
      </c>
      <c r="E363" s="6">
        <v>1.6534</v>
      </c>
      <c r="F363" s="6">
        <v>2.2669999999999999</v>
      </c>
      <c r="G363" s="6">
        <v>132.05000000000001</v>
      </c>
      <c r="H363" s="6">
        <v>28.123000000000001</v>
      </c>
      <c r="I363" s="6">
        <v>82.322000000000003</v>
      </c>
      <c r="J363" s="6">
        <v>177.05</v>
      </c>
      <c r="K363" s="6">
        <v>1.3142</v>
      </c>
      <c r="L363" s="6">
        <v>9.6066000000000003</v>
      </c>
      <c r="M363" s="6">
        <v>1.7218000000000001E-2</v>
      </c>
      <c r="N363" s="6" t="s">
        <v>20</v>
      </c>
    </row>
    <row r="364" spans="1:14" ht="17" x14ac:dyDescent="0.35">
      <c r="A364" s="9">
        <v>115.91</v>
      </c>
      <c r="B364" s="11">
        <v>20.334</v>
      </c>
      <c r="C364" s="6">
        <v>3.3167</v>
      </c>
      <c r="D364" s="6">
        <v>0.30151</v>
      </c>
      <c r="E364" s="6">
        <v>1.6521999999999999</v>
      </c>
      <c r="F364" s="6">
        <v>2.2652999999999999</v>
      </c>
      <c r="G364" s="6">
        <v>132.02000000000001</v>
      </c>
      <c r="H364" s="6">
        <v>28.149000000000001</v>
      </c>
      <c r="I364" s="6">
        <v>82.676000000000002</v>
      </c>
      <c r="J364" s="6">
        <v>177</v>
      </c>
      <c r="K364" s="6">
        <v>1.3125</v>
      </c>
      <c r="L364" s="6">
        <v>9.6172000000000004</v>
      </c>
      <c r="M364" s="6">
        <v>1.7260000000000001E-2</v>
      </c>
      <c r="N364" s="6" t="s">
        <v>20</v>
      </c>
    </row>
    <row r="365" spans="1:14" ht="17" x14ac:dyDescent="0.35">
      <c r="A365" s="9">
        <v>115.96</v>
      </c>
      <c r="B365" s="11">
        <v>20.39</v>
      </c>
      <c r="C365" s="6">
        <v>3.3285999999999998</v>
      </c>
      <c r="D365" s="6">
        <v>0.30042000000000002</v>
      </c>
      <c r="E365" s="6">
        <v>1.6509</v>
      </c>
      <c r="F365" s="6">
        <v>2.2635000000000001</v>
      </c>
      <c r="G365" s="6">
        <v>131.99</v>
      </c>
      <c r="H365" s="6">
        <v>28.175000000000001</v>
      </c>
      <c r="I365" s="6">
        <v>83.033000000000001</v>
      </c>
      <c r="J365" s="6">
        <v>176.96</v>
      </c>
      <c r="K365" s="6">
        <v>1.3108</v>
      </c>
      <c r="L365" s="6">
        <v>9.6277000000000008</v>
      </c>
      <c r="M365" s="6">
        <v>1.7301E-2</v>
      </c>
      <c r="N365" s="6" t="s">
        <v>20</v>
      </c>
    </row>
    <row r="366" spans="1:14" ht="17" x14ac:dyDescent="0.35">
      <c r="A366" s="9">
        <v>116.01</v>
      </c>
      <c r="B366" s="11">
        <v>20.446000000000002</v>
      </c>
      <c r="C366" s="6">
        <v>3.3405999999999998</v>
      </c>
      <c r="D366" s="6">
        <v>0.29933999999999999</v>
      </c>
      <c r="E366" s="6">
        <v>1.6496</v>
      </c>
      <c r="F366" s="6">
        <v>2.2616999999999998</v>
      </c>
      <c r="G366" s="6">
        <v>131.96</v>
      </c>
      <c r="H366" s="6">
        <v>28.201000000000001</v>
      </c>
      <c r="I366" s="6">
        <v>83.393000000000001</v>
      </c>
      <c r="J366" s="6">
        <v>176.91</v>
      </c>
      <c r="K366" s="6">
        <v>1.3091999999999999</v>
      </c>
      <c r="L366" s="6">
        <v>9.6382999999999992</v>
      </c>
      <c r="M366" s="6">
        <v>1.7343000000000001E-2</v>
      </c>
      <c r="N366" s="6" t="s">
        <v>20</v>
      </c>
    </row>
    <row r="367" spans="1:14" ht="17" x14ac:dyDescent="0.35">
      <c r="A367" s="9">
        <v>116.07</v>
      </c>
      <c r="B367" s="11">
        <v>20.503</v>
      </c>
      <c r="C367" s="6">
        <v>3.3527</v>
      </c>
      <c r="D367" s="6">
        <v>0.29826999999999998</v>
      </c>
      <c r="E367" s="6">
        <v>1.6483000000000001</v>
      </c>
      <c r="F367" s="6">
        <v>2.2597999999999998</v>
      </c>
      <c r="G367" s="6">
        <v>131.93</v>
      </c>
      <c r="H367" s="6">
        <v>28.227</v>
      </c>
      <c r="I367" s="6">
        <v>83.756</v>
      </c>
      <c r="J367" s="6">
        <v>176.87</v>
      </c>
      <c r="K367" s="6">
        <v>1.3075000000000001</v>
      </c>
      <c r="L367" s="6">
        <v>9.6488999999999994</v>
      </c>
      <c r="M367" s="6">
        <v>1.7384E-2</v>
      </c>
      <c r="N367" s="6" t="s">
        <v>20</v>
      </c>
    </row>
    <row r="368" spans="1:14" ht="17" x14ac:dyDescent="0.35">
      <c r="A368" s="9">
        <v>116.12</v>
      </c>
      <c r="B368" s="11">
        <v>20.559000000000001</v>
      </c>
      <c r="C368" s="6">
        <v>3.3647</v>
      </c>
      <c r="D368" s="6">
        <v>0.29720000000000002</v>
      </c>
      <c r="E368" s="6">
        <v>1.647</v>
      </c>
      <c r="F368" s="6">
        <v>2.258</v>
      </c>
      <c r="G368" s="6">
        <v>131.9</v>
      </c>
      <c r="H368" s="6">
        <v>28.253</v>
      </c>
      <c r="I368" s="6">
        <v>84.122</v>
      </c>
      <c r="J368" s="6">
        <v>176.82</v>
      </c>
      <c r="K368" s="6">
        <v>1.3058000000000001</v>
      </c>
      <c r="L368" s="6">
        <v>9.6595999999999993</v>
      </c>
      <c r="M368" s="6">
        <v>1.7426000000000001E-2</v>
      </c>
      <c r="N368" s="6" t="s">
        <v>20</v>
      </c>
    </row>
    <row r="369" spans="1:14" ht="17" x14ac:dyDescent="0.35">
      <c r="A369" s="9">
        <v>116.17</v>
      </c>
      <c r="B369" s="11">
        <v>20.614999999999998</v>
      </c>
      <c r="C369" s="6">
        <v>3.3767999999999998</v>
      </c>
      <c r="D369" s="6">
        <v>0.29613</v>
      </c>
      <c r="E369" s="6">
        <v>1.6456999999999999</v>
      </c>
      <c r="F369" s="6">
        <v>2.2562000000000002</v>
      </c>
      <c r="G369" s="6">
        <v>131.87</v>
      </c>
      <c r="H369" s="6">
        <v>28.279</v>
      </c>
      <c r="I369" s="6">
        <v>84.492000000000004</v>
      </c>
      <c r="J369" s="6">
        <v>176.78</v>
      </c>
      <c r="K369" s="6">
        <v>1.3041</v>
      </c>
      <c r="L369" s="6">
        <v>9.6701999999999995</v>
      </c>
      <c r="M369" s="6">
        <v>1.7468000000000001E-2</v>
      </c>
      <c r="N369" s="6" t="s">
        <v>20</v>
      </c>
    </row>
    <row r="370" spans="1:14" ht="17" x14ac:dyDescent="0.35">
      <c r="A370" s="9">
        <v>116.22</v>
      </c>
      <c r="B370" s="11">
        <v>20.672000000000001</v>
      </c>
      <c r="C370" s="6">
        <v>3.3889999999999998</v>
      </c>
      <c r="D370" s="6">
        <v>0.29507</v>
      </c>
      <c r="E370" s="6">
        <v>1.6444000000000001</v>
      </c>
      <c r="F370" s="6">
        <v>2.2544</v>
      </c>
      <c r="G370" s="6">
        <v>131.84</v>
      </c>
      <c r="H370" s="6">
        <v>28.306000000000001</v>
      </c>
      <c r="I370" s="6">
        <v>84.864000000000004</v>
      </c>
      <c r="J370" s="6">
        <v>176.73</v>
      </c>
      <c r="K370" s="6">
        <v>1.3025</v>
      </c>
      <c r="L370" s="6">
        <v>9.6808999999999994</v>
      </c>
      <c r="M370" s="6">
        <v>1.7510999999999999E-2</v>
      </c>
      <c r="N370" s="6" t="s">
        <v>20</v>
      </c>
    </row>
    <row r="371" spans="1:14" ht="17" x14ac:dyDescent="0.35">
      <c r="A371" s="9">
        <v>116.27</v>
      </c>
      <c r="B371" s="11">
        <v>20.728000000000002</v>
      </c>
      <c r="C371" s="6">
        <v>3.4011</v>
      </c>
      <c r="D371" s="6">
        <v>0.29402</v>
      </c>
      <c r="E371" s="6">
        <v>1.6431</v>
      </c>
      <c r="F371" s="6">
        <v>2.2524999999999999</v>
      </c>
      <c r="G371" s="6">
        <v>131.81</v>
      </c>
      <c r="H371" s="6">
        <v>28.332000000000001</v>
      </c>
      <c r="I371" s="6">
        <v>85.24</v>
      </c>
      <c r="J371" s="6">
        <v>176.69</v>
      </c>
      <c r="K371" s="6">
        <v>1.3008</v>
      </c>
      <c r="L371" s="6">
        <v>9.6915999999999993</v>
      </c>
      <c r="M371" s="6">
        <v>1.7552999999999999E-2</v>
      </c>
      <c r="N371" s="6" t="s">
        <v>20</v>
      </c>
    </row>
    <row r="372" spans="1:14" ht="17" x14ac:dyDescent="0.35">
      <c r="A372" s="9">
        <v>116.32</v>
      </c>
      <c r="B372" s="11">
        <v>20.783999999999999</v>
      </c>
      <c r="C372" s="6">
        <v>3.4133</v>
      </c>
      <c r="D372" s="6">
        <v>0.29297000000000001</v>
      </c>
      <c r="E372" s="6">
        <v>1.6417999999999999</v>
      </c>
      <c r="F372" s="6">
        <v>2.2507000000000001</v>
      </c>
      <c r="G372" s="6">
        <v>131.78</v>
      </c>
      <c r="H372" s="6">
        <v>28.359000000000002</v>
      </c>
      <c r="I372" s="6">
        <v>85.62</v>
      </c>
      <c r="J372" s="6">
        <v>176.64</v>
      </c>
      <c r="K372" s="6">
        <v>1.2990999999999999</v>
      </c>
      <c r="L372" s="6">
        <v>9.7024000000000008</v>
      </c>
      <c r="M372" s="6">
        <v>1.7596000000000001E-2</v>
      </c>
      <c r="N372" s="6" t="s">
        <v>20</v>
      </c>
    </row>
    <row r="373" spans="1:14" ht="17" x14ac:dyDescent="0.35">
      <c r="A373" s="9">
        <v>116.38</v>
      </c>
      <c r="B373" s="11">
        <v>20.84</v>
      </c>
      <c r="C373" s="6">
        <v>3.4255</v>
      </c>
      <c r="D373" s="6">
        <v>0.29192000000000001</v>
      </c>
      <c r="E373" s="6">
        <v>1.6404000000000001</v>
      </c>
      <c r="F373" s="6">
        <v>2.2488000000000001</v>
      </c>
      <c r="G373" s="6">
        <v>131.75</v>
      </c>
      <c r="H373" s="6">
        <v>28.385999999999999</v>
      </c>
      <c r="I373" s="6">
        <v>86.001999999999995</v>
      </c>
      <c r="J373" s="6">
        <v>176.59</v>
      </c>
      <c r="K373" s="6">
        <v>1.2974000000000001</v>
      </c>
      <c r="L373" s="6">
        <v>9.7131000000000007</v>
      </c>
      <c r="M373" s="6">
        <v>1.7638999999999998E-2</v>
      </c>
      <c r="N373" s="6" t="s">
        <v>20</v>
      </c>
    </row>
    <row r="374" spans="1:14" ht="17" x14ac:dyDescent="0.35">
      <c r="A374" s="9">
        <v>116.43</v>
      </c>
      <c r="B374" s="11">
        <v>20.896999999999998</v>
      </c>
      <c r="C374" s="6">
        <v>3.4378000000000002</v>
      </c>
      <c r="D374" s="6">
        <v>0.29088000000000003</v>
      </c>
      <c r="E374" s="6">
        <v>1.6391</v>
      </c>
      <c r="F374" s="6">
        <v>2.2469000000000001</v>
      </c>
      <c r="G374" s="6">
        <v>131.72</v>
      </c>
      <c r="H374" s="6">
        <v>28.411999999999999</v>
      </c>
      <c r="I374" s="6">
        <v>86.388000000000005</v>
      </c>
      <c r="J374" s="6">
        <v>176.55</v>
      </c>
      <c r="K374" s="6">
        <v>1.2958000000000001</v>
      </c>
      <c r="L374" s="6">
        <v>9.7239000000000004</v>
      </c>
      <c r="M374" s="6">
        <v>1.7682E-2</v>
      </c>
      <c r="N374" s="6" t="s">
        <v>20</v>
      </c>
    </row>
    <row r="375" spans="1:14" ht="17" x14ac:dyDescent="0.35">
      <c r="A375" s="9">
        <v>116.48</v>
      </c>
      <c r="B375" s="11">
        <v>20.952999999999999</v>
      </c>
      <c r="C375" s="6">
        <v>3.4500999999999999</v>
      </c>
      <c r="D375" s="6">
        <v>0.28985</v>
      </c>
      <c r="E375" s="6">
        <v>1.6376999999999999</v>
      </c>
      <c r="F375" s="6">
        <v>2.2450000000000001</v>
      </c>
      <c r="G375" s="6">
        <v>131.69</v>
      </c>
      <c r="H375" s="6">
        <v>28.439</v>
      </c>
      <c r="I375" s="6">
        <v>86.778000000000006</v>
      </c>
      <c r="J375" s="6">
        <v>176.5</v>
      </c>
      <c r="K375" s="6">
        <v>1.2941</v>
      </c>
      <c r="L375" s="6">
        <v>9.7347000000000001</v>
      </c>
      <c r="M375" s="6">
        <v>1.7725999999999999E-2</v>
      </c>
      <c r="N375" s="6" t="s">
        <v>20</v>
      </c>
    </row>
    <row r="376" spans="1:14" ht="17" x14ac:dyDescent="0.35">
      <c r="A376" s="9">
        <v>116.53</v>
      </c>
      <c r="B376" s="11">
        <v>21.009</v>
      </c>
      <c r="C376" s="6">
        <v>3.4624000000000001</v>
      </c>
      <c r="D376" s="6">
        <v>0.28882000000000002</v>
      </c>
      <c r="E376" s="6">
        <v>1.6364000000000001</v>
      </c>
      <c r="F376" s="6">
        <v>2.2431999999999999</v>
      </c>
      <c r="G376" s="6">
        <v>131.66</v>
      </c>
      <c r="H376" s="6">
        <v>28.466000000000001</v>
      </c>
      <c r="I376" s="6">
        <v>87.171000000000006</v>
      </c>
      <c r="J376" s="6">
        <v>176.45</v>
      </c>
      <c r="K376" s="6">
        <v>1.2924</v>
      </c>
      <c r="L376" s="6">
        <v>9.7454999999999998</v>
      </c>
      <c r="M376" s="6">
        <v>1.7769E-2</v>
      </c>
      <c r="N376" s="6" t="s">
        <v>20</v>
      </c>
    </row>
    <row r="377" spans="1:14" ht="17" x14ac:dyDescent="0.35">
      <c r="A377" s="9">
        <v>116.58</v>
      </c>
      <c r="B377" s="11">
        <v>21.065999999999999</v>
      </c>
      <c r="C377" s="6">
        <v>3.4748000000000001</v>
      </c>
      <c r="D377" s="6">
        <v>0.28778999999999999</v>
      </c>
      <c r="E377" s="6">
        <v>1.635</v>
      </c>
      <c r="F377" s="6">
        <v>2.2412999999999998</v>
      </c>
      <c r="G377" s="6">
        <v>131.63</v>
      </c>
      <c r="H377" s="6">
        <v>28.494</v>
      </c>
      <c r="I377" s="6">
        <v>87.567999999999998</v>
      </c>
      <c r="J377" s="6">
        <v>176.41</v>
      </c>
      <c r="K377" s="6">
        <v>1.2907</v>
      </c>
      <c r="L377" s="6">
        <v>9.7563999999999993</v>
      </c>
      <c r="M377" s="6">
        <v>1.7812999999999999E-2</v>
      </c>
      <c r="N377" s="6" t="s">
        <v>20</v>
      </c>
    </row>
    <row r="378" spans="1:14" ht="17" x14ac:dyDescent="0.35">
      <c r="A378" s="9">
        <v>116.63</v>
      </c>
      <c r="B378" s="11">
        <v>21.122</v>
      </c>
      <c r="C378" s="6">
        <v>3.4870999999999999</v>
      </c>
      <c r="D378" s="6">
        <v>0.28677000000000002</v>
      </c>
      <c r="E378" s="6">
        <v>1.6335999999999999</v>
      </c>
      <c r="F378" s="6">
        <v>2.2393999999999998</v>
      </c>
      <c r="G378" s="6">
        <v>131.6</v>
      </c>
      <c r="H378" s="6">
        <v>28.521000000000001</v>
      </c>
      <c r="I378" s="6">
        <v>87.968000000000004</v>
      </c>
      <c r="J378" s="6">
        <v>176.36</v>
      </c>
      <c r="K378" s="6">
        <v>1.2889999999999999</v>
      </c>
      <c r="L378" s="6">
        <v>9.7672000000000008</v>
      </c>
      <c r="M378" s="6">
        <v>1.7857000000000001E-2</v>
      </c>
      <c r="N378" s="6" t="s">
        <v>20</v>
      </c>
    </row>
    <row r="379" spans="1:14" ht="17" x14ac:dyDescent="0.35">
      <c r="A379" s="9">
        <v>116.68</v>
      </c>
      <c r="B379" s="11">
        <v>21.178000000000001</v>
      </c>
      <c r="C379" s="6">
        <v>3.4996</v>
      </c>
      <c r="D379" s="6">
        <v>0.28575</v>
      </c>
      <c r="E379" s="6">
        <v>1.6323000000000001</v>
      </c>
      <c r="F379" s="6">
        <v>2.2374000000000001</v>
      </c>
      <c r="G379" s="6">
        <v>131.57</v>
      </c>
      <c r="H379" s="6">
        <v>28.547999999999998</v>
      </c>
      <c r="I379" s="6">
        <v>88.372</v>
      </c>
      <c r="J379" s="6">
        <v>176.31</v>
      </c>
      <c r="K379" s="6">
        <v>1.2873000000000001</v>
      </c>
      <c r="L379" s="6">
        <v>9.7781000000000002</v>
      </c>
      <c r="M379" s="6">
        <v>1.7902000000000001E-2</v>
      </c>
      <c r="N379" s="6" t="s">
        <v>20</v>
      </c>
    </row>
    <row r="380" spans="1:14" ht="17" x14ac:dyDescent="0.35">
      <c r="A380" s="9">
        <v>116.73</v>
      </c>
      <c r="B380" s="11">
        <v>21.234000000000002</v>
      </c>
      <c r="C380" s="6">
        <v>3.512</v>
      </c>
      <c r="D380" s="6">
        <v>0.28473999999999999</v>
      </c>
      <c r="E380" s="6">
        <v>1.6309</v>
      </c>
      <c r="F380" s="6">
        <v>2.2355</v>
      </c>
      <c r="G380" s="6">
        <v>131.54</v>
      </c>
      <c r="H380" s="6">
        <v>28.576000000000001</v>
      </c>
      <c r="I380" s="6">
        <v>88.778999999999996</v>
      </c>
      <c r="J380" s="6">
        <v>176.27</v>
      </c>
      <c r="K380" s="6">
        <v>1.2857000000000001</v>
      </c>
      <c r="L380" s="6">
        <v>9.7890999999999995</v>
      </c>
      <c r="M380" s="6">
        <v>1.7946E-2</v>
      </c>
      <c r="N380" s="6" t="s">
        <v>20</v>
      </c>
    </row>
    <row r="381" spans="1:14" ht="17" x14ac:dyDescent="0.35">
      <c r="A381" s="9">
        <v>116.78</v>
      </c>
      <c r="B381" s="11">
        <v>21.291</v>
      </c>
      <c r="C381" s="6">
        <v>3.5245000000000002</v>
      </c>
      <c r="D381" s="6">
        <v>0.28372999999999998</v>
      </c>
      <c r="E381" s="6">
        <v>1.6294999999999999</v>
      </c>
      <c r="F381" s="6">
        <v>2.2336</v>
      </c>
      <c r="G381" s="6">
        <v>131.51</v>
      </c>
      <c r="H381" s="6">
        <v>28.603000000000002</v>
      </c>
      <c r="I381" s="6">
        <v>89.191000000000003</v>
      </c>
      <c r="J381" s="6">
        <v>176.22</v>
      </c>
      <c r="K381" s="6">
        <v>1.284</v>
      </c>
      <c r="L381" s="6">
        <v>9.8000000000000007</v>
      </c>
      <c r="M381" s="6">
        <v>1.7991E-2</v>
      </c>
      <c r="N381" s="6" t="s">
        <v>20</v>
      </c>
    </row>
    <row r="382" spans="1:14" ht="17" x14ac:dyDescent="0.35">
      <c r="A382" s="9">
        <v>116.83</v>
      </c>
      <c r="B382" s="11">
        <v>21.347000000000001</v>
      </c>
      <c r="C382" s="6">
        <v>3.5369999999999999</v>
      </c>
      <c r="D382" s="6">
        <v>0.28272999999999998</v>
      </c>
      <c r="E382" s="6">
        <v>1.6281000000000001</v>
      </c>
      <c r="F382" s="6">
        <v>2.2315999999999998</v>
      </c>
      <c r="G382" s="6">
        <v>131.47999999999999</v>
      </c>
      <c r="H382" s="6">
        <v>28.631</v>
      </c>
      <c r="I382" s="6">
        <v>89.605999999999995</v>
      </c>
      <c r="J382" s="6">
        <v>176.17</v>
      </c>
      <c r="K382" s="6">
        <v>1.2823</v>
      </c>
      <c r="L382" s="6">
        <v>9.8109999999999999</v>
      </c>
      <c r="M382" s="6">
        <v>1.8036E-2</v>
      </c>
      <c r="N382" s="6" t="s">
        <v>20</v>
      </c>
    </row>
    <row r="383" spans="1:14" ht="17" x14ac:dyDescent="0.35">
      <c r="A383" s="9">
        <v>116.88</v>
      </c>
      <c r="B383" s="11">
        <v>21.402999999999999</v>
      </c>
      <c r="C383" s="6">
        <v>3.5495999999999999</v>
      </c>
      <c r="D383" s="6">
        <v>0.28172999999999998</v>
      </c>
      <c r="E383" s="6">
        <v>1.6267</v>
      </c>
      <c r="F383" s="6">
        <v>2.2296999999999998</v>
      </c>
      <c r="G383" s="6">
        <v>131.44999999999999</v>
      </c>
      <c r="H383" s="6">
        <v>28.658999999999999</v>
      </c>
      <c r="I383" s="6">
        <v>90.025000000000006</v>
      </c>
      <c r="J383" s="6">
        <v>176.12</v>
      </c>
      <c r="K383" s="6">
        <v>1.2806</v>
      </c>
      <c r="L383" s="6">
        <v>9.8219999999999992</v>
      </c>
      <c r="M383" s="6">
        <v>1.8081E-2</v>
      </c>
      <c r="N383" s="6" t="s">
        <v>20</v>
      </c>
    </row>
    <row r="384" spans="1:14" ht="17" x14ac:dyDescent="0.35">
      <c r="A384" s="9">
        <v>116.93</v>
      </c>
      <c r="B384" s="11">
        <v>21.46</v>
      </c>
      <c r="C384" s="6">
        <v>3.5621</v>
      </c>
      <c r="D384" s="6">
        <v>0.28072999999999998</v>
      </c>
      <c r="E384" s="6">
        <v>1.6253</v>
      </c>
      <c r="F384" s="6">
        <v>2.2277</v>
      </c>
      <c r="G384" s="6">
        <v>131.41999999999999</v>
      </c>
      <c r="H384" s="6">
        <v>28.687000000000001</v>
      </c>
      <c r="I384" s="6">
        <v>90.447000000000003</v>
      </c>
      <c r="J384" s="6">
        <v>176.08</v>
      </c>
      <c r="K384" s="6">
        <v>1.2788999999999999</v>
      </c>
      <c r="L384" s="6">
        <v>9.8330000000000002</v>
      </c>
      <c r="M384" s="6">
        <v>1.8126E-2</v>
      </c>
      <c r="N384" s="6" t="s">
        <v>20</v>
      </c>
    </row>
    <row r="385" spans="1:14" ht="17" x14ac:dyDescent="0.35">
      <c r="A385" s="9">
        <v>116.98</v>
      </c>
      <c r="B385" s="11">
        <v>21.515999999999998</v>
      </c>
      <c r="C385" s="6">
        <v>3.5748000000000002</v>
      </c>
      <c r="D385" s="6">
        <v>0.27973999999999999</v>
      </c>
      <c r="E385" s="6">
        <v>1.6237999999999999</v>
      </c>
      <c r="F385" s="6">
        <v>2.2256999999999998</v>
      </c>
      <c r="G385" s="6">
        <v>131.38999999999999</v>
      </c>
      <c r="H385" s="6">
        <v>28.715</v>
      </c>
      <c r="I385" s="6">
        <v>90.873999999999995</v>
      </c>
      <c r="J385" s="6">
        <v>176.03</v>
      </c>
      <c r="K385" s="6">
        <v>1.2771999999999999</v>
      </c>
      <c r="L385" s="6">
        <v>9.8440999999999992</v>
      </c>
      <c r="M385" s="6">
        <v>1.8172000000000001E-2</v>
      </c>
      <c r="N385" s="6" t="s">
        <v>20</v>
      </c>
    </row>
    <row r="386" spans="1:14" ht="17" x14ac:dyDescent="0.35">
      <c r="A386" s="9">
        <v>117.03</v>
      </c>
      <c r="B386" s="11">
        <v>21.571999999999999</v>
      </c>
      <c r="C386" s="6">
        <v>3.5874000000000001</v>
      </c>
      <c r="D386" s="6">
        <v>0.27875</v>
      </c>
      <c r="E386" s="6">
        <v>1.6224000000000001</v>
      </c>
      <c r="F386" s="6">
        <v>2.2237</v>
      </c>
      <c r="G386" s="6">
        <v>131.36000000000001</v>
      </c>
      <c r="H386" s="6">
        <v>28.742999999999999</v>
      </c>
      <c r="I386" s="6">
        <v>91.305000000000007</v>
      </c>
      <c r="J386" s="6">
        <v>175.98</v>
      </c>
      <c r="K386" s="6">
        <v>1.2755000000000001</v>
      </c>
      <c r="L386" s="6">
        <v>9.8552</v>
      </c>
      <c r="M386" s="6">
        <v>1.8218000000000002E-2</v>
      </c>
      <c r="N386" s="6" t="s">
        <v>20</v>
      </c>
    </row>
    <row r="387" spans="1:14" ht="17" x14ac:dyDescent="0.35">
      <c r="A387" s="9">
        <v>117.08</v>
      </c>
      <c r="B387" s="11">
        <v>21.628</v>
      </c>
      <c r="C387" s="6">
        <v>3.6000999999999999</v>
      </c>
      <c r="D387" s="6">
        <v>0.27777000000000002</v>
      </c>
      <c r="E387" s="6">
        <v>1.621</v>
      </c>
      <c r="F387" s="6">
        <v>2.2218</v>
      </c>
      <c r="G387" s="6">
        <v>131.33000000000001</v>
      </c>
      <c r="H387" s="6">
        <v>28.771000000000001</v>
      </c>
      <c r="I387" s="6">
        <v>91.74</v>
      </c>
      <c r="J387" s="6">
        <v>175.93</v>
      </c>
      <c r="K387" s="6">
        <v>1.2738</v>
      </c>
      <c r="L387" s="6">
        <v>9.8663000000000007</v>
      </c>
      <c r="M387" s="6">
        <v>1.8263999999999999E-2</v>
      </c>
      <c r="N387" s="6" t="s">
        <v>20</v>
      </c>
    </row>
    <row r="388" spans="1:14" ht="17" x14ac:dyDescent="0.35">
      <c r="A388" s="9">
        <v>117.13</v>
      </c>
      <c r="B388" s="11">
        <v>21.684999999999999</v>
      </c>
      <c r="C388" s="6">
        <v>3.6128</v>
      </c>
      <c r="D388" s="6">
        <v>0.27678999999999998</v>
      </c>
      <c r="E388" s="6">
        <v>1.6194999999999999</v>
      </c>
      <c r="F388" s="6">
        <v>2.2198000000000002</v>
      </c>
      <c r="G388" s="6">
        <v>131.29</v>
      </c>
      <c r="H388" s="6">
        <v>28.8</v>
      </c>
      <c r="I388" s="6">
        <v>92.179000000000002</v>
      </c>
      <c r="J388" s="6">
        <v>175.88</v>
      </c>
      <c r="K388" s="6">
        <v>1.2721</v>
      </c>
      <c r="L388" s="6">
        <v>9.8774999999999995</v>
      </c>
      <c r="M388" s="6">
        <v>1.831E-2</v>
      </c>
      <c r="N388" s="6" t="s">
        <v>20</v>
      </c>
    </row>
    <row r="389" spans="1:14" ht="17" x14ac:dyDescent="0.35">
      <c r="A389" s="9">
        <v>117.18</v>
      </c>
      <c r="B389" s="11">
        <v>21.741</v>
      </c>
      <c r="C389" s="6">
        <v>3.6255999999999999</v>
      </c>
      <c r="D389" s="6">
        <v>0.27582000000000001</v>
      </c>
      <c r="E389" s="6">
        <v>1.6181000000000001</v>
      </c>
      <c r="F389" s="6">
        <v>2.2176999999999998</v>
      </c>
      <c r="G389" s="6">
        <v>131.26</v>
      </c>
      <c r="H389" s="6">
        <v>28.827999999999999</v>
      </c>
      <c r="I389" s="6">
        <v>92.622</v>
      </c>
      <c r="J389" s="6">
        <v>175.83</v>
      </c>
      <c r="K389" s="6">
        <v>1.2704</v>
      </c>
      <c r="L389" s="6">
        <v>9.8886000000000003</v>
      </c>
      <c r="M389" s="6">
        <v>1.8356999999999998E-2</v>
      </c>
      <c r="N389" s="6" t="s">
        <v>20</v>
      </c>
    </row>
    <row r="390" spans="1:14" ht="17" x14ac:dyDescent="0.35">
      <c r="A390" s="9">
        <v>117.23</v>
      </c>
      <c r="B390" s="11">
        <v>21.797000000000001</v>
      </c>
      <c r="C390" s="6">
        <v>3.6383999999999999</v>
      </c>
      <c r="D390" s="6">
        <v>0.27484999999999998</v>
      </c>
      <c r="E390" s="6">
        <v>1.6166</v>
      </c>
      <c r="F390" s="6">
        <v>2.2157</v>
      </c>
      <c r="G390" s="6">
        <v>131.22999999999999</v>
      </c>
      <c r="H390" s="6">
        <v>28.856999999999999</v>
      </c>
      <c r="I390" s="6">
        <v>93.069000000000003</v>
      </c>
      <c r="J390" s="6">
        <v>175.78</v>
      </c>
      <c r="K390" s="6">
        <v>1.2686999999999999</v>
      </c>
      <c r="L390" s="6">
        <v>9.8998000000000008</v>
      </c>
      <c r="M390" s="6">
        <v>1.8404E-2</v>
      </c>
      <c r="N390" s="6" t="s">
        <v>20</v>
      </c>
    </row>
    <row r="391" spans="1:14" ht="17" x14ac:dyDescent="0.35">
      <c r="A391" s="9">
        <v>117.28</v>
      </c>
      <c r="B391" s="11">
        <v>21.853999999999999</v>
      </c>
      <c r="C391" s="6">
        <v>3.6511999999999998</v>
      </c>
      <c r="D391" s="6">
        <v>0.27388000000000001</v>
      </c>
      <c r="E391" s="6">
        <v>1.6152</v>
      </c>
      <c r="F391" s="6">
        <v>2.2136999999999998</v>
      </c>
      <c r="G391" s="6">
        <v>131.19999999999999</v>
      </c>
      <c r="H391" s="6">
        <v>28.885000000000002</v>
      </c>
      <c r="I391" s="6">
        <v>93.521000000000001</v>
      </c>
      <c r="J391" s="6">
        <v>175.74</v>
      </c>
      <c r="K391" s="6">
        <v>1.2669999999999999</v>
      </c>
      <c r="L391" s="6">
        <v>9.9110999999999994</v>
      </c>
      <c r="M391" s="6">
        <v>1.8450999999999999E-2</v>
      </c>
      <c r="N391" s="6" t="s">
        <v>20</v>
      </c>
    </row>
    <row r="392" spans="1:14" ht="17" x14ac:dyDescent="0.35">
      <c r="A392" s="9">
        <v>117.33</v>
      </c>
      <c r="B392" s="11">
        <v>21.91</v>
      </c>
      <c r="C392" s="6">
        <v>3.6640999999999999</v>
      </c>
      <c r="D392" s="6">
        <v>0.27292</v>
      </c>
      <c r="E392" s="6">
        <v>1.6136999999999999</v>
      </c>
      <c r="F392" s="6">
        <v>2.2117</v>
      </c>
      <c r="G392" s="6">
        <v>131.16999999999999</v>
      </c>
      <c r="H392" s="6">
        <v>28.914000000000001</v>
      </c>
      <c r="I392" s="6">
        <v>93.977000000000004</v>
      </c>
      <c r="J392" s="6">
        <v>175.69</v>
      </c>
      <c r="K392" s="6">
        <v>1.2653000000000001</v>
      </c>
      <c r="L392" s="6">
        <v>9.9222999999999999</v>
      </c>
      <c r="M392" s="6">
        <v>1.8498000000000001E-2</v>
      </c>
      <c r="N392" s="6" t="s">
        <v>20</v>
      </c>
    </row>
    <row r="393" spans="1:14" ht="17" x14ac:dyDescent="0.35">
      <c r="A393" s="9">
        <v>117.38</v>
      </c>
      <c r="B393" s="11">
        <v>21.966000000000001</v>
      </c>
      <c r="C393" s="6">
        <v>3.677</v>
      </c>
      <c r="D393" s="6">
        <v>0.27195999999999998</v>
      </c>
      <c r="E393" s="6">
        <v>1.6122000000000001</v>
      </c>
      <c r="F393" s="6">
        <v>2.2096</v>
      </c>
      <c r="G393" s="6">
        <v>131.13999999999999</v>
      </c>
      <c r="H393" s="6">
        <v>28.943000000000001</v>
      </c>
      <c r="I393" s="6">
        <v>94.436999999999998</v>
      </c>
      <c r="J393" s="6">
        <v>175.64</v>
      </c>
      <c r="K393" s="6">
        <v>1.2636000000000001</v>
      </c>
      <c r="L393" s="6">
        <v>9.9336000000000002</v>
      </c>
      <c r="M393" s="6">
        <v>1.8546E-2</v>
      </c>
      <c r="N393" s="6" t="s">
        <v>20</v>
      </c>
    </row>
    <row r="394" spans="1:14" ht="17" x14ac:dyDescent="0.35">
      <c r="A394" s="9">
        <v>117.43</v>
      </c>
      <c r="B394" s="11">
        <v>22.023</v>
      </c>
      <c r="C394" s="6">
        <v>3.6899000000000002</v>
      </c>
      <c r="D394" s="6">
        <v>0.27100999999999997</v>
      </c>
      <c r="E394" s="6">
        <v>1.6107</v>
      </c>
      <c r="F394" s="6">
        <v>2.2075</v>
      </c>
      <c r="G394" s="6">
        <v>131.11000000000001</v>
      </c>
      <c r="H394" s="6">
        <v>28.972000000000001</v>
      </c>
      <c r="I394" s="6">
        <v>94.902000000000001</v>
      </c>
      <c r="J394" s="6">
        <v>175.59</v>
      </c>
      <c r="K394" s="6">
        <v>1.2619</v>
      </c>
      <c r="L394" s="6">
        <v>9.9449000000000005</v>
      </c>
      <c r="M394" s="6">
        <v>1.8593999999999999E-2</v>
      </c>
      <c r="N394" s="6" t="s">
        <v>20</v>
      </c>
    </row>
    <row r="395" spans="1:14" ht="17" x14ac:dyDescent="0.35">
      <c r="A395" s="9">
        <v>117.48</v>
      </c>
      <c r="B395" s="11">
        <v>22.079000000000001</v>
      </c>
      <c r="C395" s="6">
        <v>3.7029000000000001</v>
      </c>
      <c r="D395" s="6">
        <v>0.27006000000000002</v>
      </c>
      <c r="E395" s="6">
        <v>1.6092</v>
      </c>
      <c r="F395" s="6">
        <v>2.2054999999999998</v>
      </c>
      <c r="G395" s="6">
        <v>131.08000000000001</v>
      </c>
      <c r="H395" s="6">
        <v>29.001999999999999</v>
      </c>
      <c r="I395" s="6">
        <v>95.370999999999995</v>
      </c>
      <c r="J395" s="6">
        <v>175.54</v>
      </c>
      <c r="K395" s="6">
        <v>1.2601</v>
      </c>
      <c r="L395" s="6">
        <v>9.9563000000000006</v>
      </c>
      <c r="M395" s="6">
        <v>1.8641999999999999E-2</v>
      </c>
      <c r="N395" s="6" t="s">
        <v>20</v>
      </c>
    </row>
    <row r="396" spans="1:14" ht="17" x14ac:dyDescent="0.35">
      <c r="A396" s="9">
        <v>117.53</v>
      </c>
      <c r="B396" s="11">
        <v>22.135000000000002</v>
      </c>
      <c r="C396" s="6">
        <v>3.7159</v>
      </c>
      <c r="D396" s="6">
        <v>0.26911000000000002</v>
      </c>
      <c r="E396" s="6">
        <v>1.6076999999999999</v>
      </c>
      <c r="F396" s="6">
        <v>2.2033999999999998</v>
      </c>
      <c r="G396" s="6">
        <v>131.05000000000001</v>
      </c>
      <c r="H396" s="6">
        <v>29.030999999999999</v>
      </c>
      <c r="I396" s="6">
        <v>95.844999999999999</v>
      </c>
      <c r="J396" s="6">
        <v>175.49</v>
      </c>
      <c r="K396" s="6">
        <v>1.2584</v>
      </c>
      <c r="L396" s="6">
        <v>9.9677000000000007</v>
      </c>
      <c r="M396" s="6">
        <v>1.8690999999999999E-2</v>
      </c>
      <c r="N396" s="6" t="s">
        <v>20</v>
      </c>
    </row>
    <row r="397" spans="1:14" ht="17" x14ac:dyDescent="0.35">
      <c r="A397" s="9">
        <v>117.58</v>
      </c>
      <c r="B397" s="11">
        <v>22.190999999999999</v>
      </c>
      <c r="C397" s="6">
        <v>3.7290000000000001</v>
      </c>
      <c r="D397" s="6">
        <v>0.26817000000000002</v>
      </c>
      <c r="E397" s="6">
        <v>1.6062000000000001</v>
      </c>
      <c r="F397" s="6">
        <v>2.2012999999999998</v>
      </c>
      <c r="G397" s="6">
        <v>131.02000000000001</v>
      </c>
      <c r="H397" s="6">
        <v>29.06</v>
      </c>
      <c r="I397" s="6">
        <v>96.323999999999998</v>
      </c>
      <c r="J397" s="6">
        <v>175.44</v>
      </c>
      <c r="K397" s="6">
        <v>1.2566999999999999</v>
      </c>
      <c r="L397" s="6">
        <v>9.9791000000000007</v>
      </c>
      <c r="M397" s="6">
        <v>1.8738999999999999E-2</v>
      </c>
      <c r="N397" s="6" t="s">
        <v>20</v>
      </c>
    </row>
    <row r="398" spans="1:14" ht="17" x14ac:dyDescent="0.35">
      <c r="A398" s="9">
        <v>117.63</v>
      </c>
      <c r="B398" s="11">
        <v>22.248000000000001</v>
      </c>
      <c r="C398" s="6">
        <v>3.7421000000000002</v>
      </c>
      <c r="D398" s="6">
        <v>0.26723000000000002</v>
      </c>
      <c r="E398" s="6">
        <v>1.6047</v>
      </c>
      <c r="F398" s="6">
        <v>2.1991999999999998</v>
      </c>
      <c r="G398" s="6">
        <v>130.99</v>
      </c>
      <c r="H398" s="6">
        <v>29.09</v>
      </c>
      <c r="I398" s="6">
        <v>96.808000000000007</v>
      </c>
      <c r="J398" s="6">
        <v>175.39</v>
      </c>
      <c r="K398" s="6">
        <v>1.2549999999999999</v>
      </c>
      <c r="L398" s="6">
        <v>9.9905000000000008</v>
      </c>
      <c r="M398" s="6">
        <v>1.8787999999999999E-2</v>
      </c>
      <c r="N398" s="6" t="s">
        <v>20</v>
      </c>
    </row>
    <row r="399" spans="1:14" ht="17" x14ac:dyDescent="0.35">
      <c r="A399" s="9">
        <v>117.68</v>
      </c>
      <c r="B399" s="11">
        <v>22.303999999999998</v>
      </c>
      <c r="C399" s="6">
        <v>3.7551999999999999</v>
      </c>
      <c r="D399" s="6">
        <v>0.26629999999999998</v>
      </c>
      <c r="E399" s="6">
        <v>1.6031</v>
      </c>
      <c r="F399" s="6">
        <v>2.1970999999999998</v>
      </c>
      <c r="G399" s="6">
        <v>130.96</v>
      </c>
      <c r="H399" s="6">
        <v>29.12</v>
      </c>
      <c r="I399" s="6">
        <v>97.296000000000006</v>
      </c>
      <c r="J399" s="6">
        <v>175.34</v>
      </c>
      <c r="K399" s="6">
        <v>1.2533000000000001</v>
      </c>
      <c r="L399" s="6">
        <v>10.002000000000001</v>
      </c>
      <c r="M399" s="6">
        <v>1.8837E-2</v>
      </c>
      <c r="N399" s="6" t="s">
        <v>20</v>
      </c>
    </row>
    <row r="400" spans="1:14" ht="17" x14ac:dyDescent="0.35">
      <c r="A400" s="9">
        <v>117.73</v>
      </c>
      <c r="B400" s="11">
        <v>22.36</v>
      </c>
      <c r="C400" s="6">
        <v>3.7684000000000002</v>
      </c>
      <c r="D400" s="6">
        <v>0.26536999999999999</v>
      </c>
      <c r="E400" s="6">
        <v>1.6015999999999999</v>
      </c>
      <c r="F400" s="6">
        <v>2.1949999999999998</v>
      </c>
      <c r="G400" s="6">
        <v>130.93</v>
      </c>
      <c r="H400" s="6">
        <v>29.149000000000001</v>
      </c>
      <c r="I400" s="6">
        <v>97.789000000000001</v>
      </c>
      <c r="J400" s="6">
        <v>175.29</v>
      </c>
      <c r="K400" s="6">
        <v>1.2516</v>
      </c>
      <c r="L400" s="6">
        <v>10.013999999999999</v>
      </c>
      <c r="M400" s="6">
        <v>1.8887000000000001E-2</v>
      </c>
      <c r="N400" s="6" t="s">
        <v>20</v>
      </c>
    </row>
    <row r="401" spans="1:14" ht="17" x14ac:dyDescent="0.35">
      <c r="A401" s="9">
        <v>117.77</v>
      </c>
      <c r="B401" s="11">
        <v>22.417000000000002</v>
      </c>
      <c r="C401" s="6">
        <v>3.7816000000000001</v>
      </c>
      <c r="D401" s="6">
        <v>0.26444000000000001</v>
      </c>
      <c r="E401" s="6">
        <v>1.6001000000000001</v>
      </c>
      <c r="F401" s="6">
        <v>2.1928000000000001</v>
      </c>
      <c r="G401" s="6">
        <v>130.9</v>
      </c>
      <c r="H401" s="6">
        <v>29.178999999999998</v>
      </c>
      <c r="I401" s="6">
        <v>98.287000000000006</v>
      </c>
      <c r="J401" s="6">
        <v>175.24</v>
      </c>
      <c r="K401" s="6">
        <v>1.2498</v>
      </c>
      <c r="L401" s="6">
        <v>10.025</v>
      </c>
      <c r="M401" s="6">
        <v>1.8936999999999999E-2</v>
      </c>
      <c r="N401" s="6" t="s">
        <v>20</v>
      </c>
    </row>
    <row r="402" spans="1:14" ht="17" x14ac:dyDescent="0.35">
      <c r="A402" s="9">
        <v>117.82</v>
      </c>
      <c r="B402" s="11">
        <v>22.472999999999999</v>
      </c>
      <c r="C402" s="6">
        <v>3.7948</v>
      </c>
      <c r="D402" s="6">
        <v>0.26351999999999998</v>
      </c>
      <c r="E402" s="6">
        <v>1.5985</v>
      </c>
      <c r="F402" s="6">
        <v>2.1907000000000001</v>
      </c>
      <c r="G402" s="6">
        <v>130.87</v>
      </c>
      <c r="H402" s="6">
        <v>29.209</v>
      </c>
      <c r="I402" s="6">
        <v>98.79</v>
      </c>
      <c r="J402" s="6">
        <v>175.19</v>
      </c>
      <c r="K402" s="6">
        <v>1.2481</v>
      </c>
      <c r="L402" s="6">
        <v>10.037000000000001</v>
      </c>
      <c r="M402" s="6">
        <v>1.8987E-2</v>
      </c>
      <c r="N402" s="6" t="s">
        <v>20</v>
      </c>
    </row>
    <row r="403" spans="1:14" ht="17" x14ac:dyDescent="0.35">
      <c r="A403" s="9">
        <v>117.87</v>
      </c>
      <c r="B403" s="11">
        <v>22.529</v>
      </c>
      <c r="C403" s="6">
        <v>3.8081</v>
      </c>
      <c r="D403" s="6">
        <v>0.2626</v>
      </c>
      <c r="E403" s="6">
        <v>1.5969</v>
      </c>
      <c r="F403" s="6">
        <v>2.1884999999999999</v>
      </c>
      <c r="G403" s="6">
        <v>130.84</v>
      </c>
      <c r="H403" s="6">
        <v>29.24</v>
      </c>
      <c r="I403" s="6">
        <v>99.298000000000002</v>
      </c>
      <c r="J403" s="6">
        <v>175.14</v>
      </c>
      <c r="K403" s="6">
        <v>1.2464</v>
      </c>
      <c r="L403" s="6">
        <v>10.048</v>
      </c>
      <c r="M403" s="6">
        <v>1.9036999999999998E-2</v>
      </c>
      <c r="N403" s="6" t="s">
        <v>20</v>
      </c>
    </row>
    <row r="404" spans="1:14" ht="17" x14ac:dyDescent="0.35">
      <c r="A404" s="9">
        <v>117.92</v>
      </c>
      <c r="B404" s="11">
        <v>22.585000000000001</v>
      </c>
      <c r="C404" s="6">
        <v>3.8214000000000001</v>
      </c>
      <c r="D404" s="6">
        <v>0.26168000000000002</v>
      </c>
      <c r="E404" s="6">
        <v>1.5953999999999999</v>
      </c>
      <c r="F404" s="6">
        <v>2.1863999999999999</v>
      </c>
      <c r="G404" s="6">
        <v>130.80000000000001</v>
      </c>
      <c r="H404" s="6">
        <v>29.27</v>
      </c>
      <c r="I404" s="6">
        <v>99.811999999999998</v>
      </c>
      <c r="J404" s="6">
        <v>175.08</v>
      </c>
      <c r="K404" s="6">
        <v>1.2445999999999999</v>
      </c>
      <c r="L404" s="6">
        <v>10.06</v>
      </c>
      <c r="M404" s="6">
        <v>1.9088000000000001E-2</v>
      </c>
      <c r="N404" s="6" t="s">
        <v>20</v>
      </c>
    </row>
    <row r="405" spans="1:14" ht="17" x14ac:dyDescent="0.35">
      <c r="A405" s="9">
        <v>117.97</v>
      </c>
      <c r="B405" s="11">
        <v>22.641999999999999</v>
      </c>
      <c r="C405" s="6">
        <v>3.8348</v>
      </c>
      <c r="D405" s="6">
        <v>0.26077</v>
      </c>
      <c r="E405" s="6">
        <v>1.5938000000000001</v>
      </c>
      <c r="F405" s="6">
        <v>2.1842000000000001</v>
      </c>
      <c r="G405" s="6">
        <v>130.77000000000001</v>
      </c>
      <c r="H405" s="6">
        <v>29.3</v>
      </c>
      <c r="I405" s="6">
        <v>100.33</v>
      </c>
      <c r="J405" s="6">
        <v>175.03</v>
      </c>
      <c r="K405" s="6">
        <v>1.2428999999999999</v>
      </c>
      <c r="L405" s="6">
        <v>10.071999999999999</v>
      </c>
      <c r="M405" s="6">
        <v>1.9139E-2</v>
      </c>
      <c r="N405" s="6" t="s">
        <v>20</v>
      </c>
    </row>
    <row r="406" spans="1:14" ht="17" x14ac:dyDescent="0.35">
      <c r="A406" s="9">
        <v>118.02</v>
      </c>
      <c r="B406" s="11">
        <v>22.698</v>
      </c>
      <c r="C406" s="6">
        <v>3.8481999999999998</v>
      </c>
      <c r="D406" s="6">
        <v>0.25985999999999998</v>
      </c>
      <c r="E406" s="6">
        <v>1.5922000000000001</v>
      </c>
      <c r="F406" s="6">
        <v>2.1819999999999999</v>
      </c>
      <c r="G406" s="6">
        <v>130.74</v>
      </c>
      <c r="H406" s="6">
        <v>29.331</v>
      </c>
      <c r="I406" s="6">
        <v>100.85</v>
      </c>
      <c r="J406" s="6">
        <v>174.98</v>
      </c>
      <c r="K406" s="6">
        <v>1.2412000000000001</v>
      </c>
      <c r="L406" s="6">
        <v>10.083</v>
      </c>
      <c r="M406" s="6">
        <v>1.9189999999999999E-2</v>
      </c>
      <c r="N406" s="6" t="s">
        <v>20</v>
      </c>
    </row>
    <row r="407" spans="1:14" ht="17" x14ac:dyDescent="0.35">
      <c r="A407" s="9">
        <v>118.06</v>
      </c>
      <c r="B407" s="11">
        <v>22.754000000000001</v>
      </c>
      <c r="C407" s="6">
        <v>3.8616999999999999</v>
      </c>
      <c r="D407" s="6">
        <v>0.25896000000000002</v>
      </c>
      <c r="E407" s="6">
        <v>1.5906</v>
      </c>
      <c r="F407" s="6">
        <v>2.1798000000000002</v>
      </c>
      <c r="G407" s="6">
        <v>130.71</v>
      </c>
      <c r="H407" s="6">
        <v>29.361000000000001</v>
      </c>
      <c r="I407" s="6">
        <v>101.38</v>
      </c>
      <c r="J407" s="6">
        <v>174.93</v>
      </c>
      <c r="K407" s="6">
        <v>1.2394000000000001</v>
      </c>
      <c r="L407" s="6">
        <v>10.095000000000001</v>
      </c>
      <c r="M407" s="6">
        <v>1.9241000000000001E-2</v>
      </c>
      <c r="N407" s="6" t="s">
        <v>20</v>
      </c>
    </row>
    <row r="408" spans="1:14" ht="17" x14ac:dyDescent="0.35">
      <c r="A408" s="9">
        <v>118.11</v>
      </c>
      <c r="B408" s="11">
        <v>22.811</v>
      </c>
      <c r="C408" s="6">
        <v>3.8752</v>
      </c>
      <c r="D408" s="6">
        <v>0.25805</v>
      </c>
      <c r="E408" s="6">
        <v>1.589</v>
      </c>
      <c r="F408" s="6">
        <v>2.1776</v>
      </c>
      <c r="G408" s="6">
        <v>130.68</v>
      </c>
      <c r="H408" s="6">
        <v>29.391999999999999</v>
      </c>
      <c r="I408" s="6">
        <v>101.92</v>
      </c>
      <c r="J408" s="6">
        <v>174.88</v>
      </c>
      <c r="K408" s="6">
        <v>1.2377</v>
      </c>
      <c r="L408" s="6">
        <v>10.106999999999999</v>
      </c>
      <c r="M408" s="6">
        <v>1.9293000000000001E-2</v>
      </c>
      <c r="N408" s="6" t="s">
        <v>20</v>
      </c>
    </row>
    <row r="409" spans="1:14" ht="17" x14ac:dyDescent="0.35">
      <c r="A409" s="9">
        <v>118.16</v>
      </c>
      <c r="B409" s="11">
        <v>22.867000000000001</v>
      </c>
      <c r="C409" s="6">
        <v>3.8887</v>
      </c>
      <c r="D409" s="6">
        <v>0.25716</v>
      </c>
      <c r="E409" s="6">
        <v>1.5873999999999999</v>
      </c>
      <c r="F409" s="6">
        <v>2.1753999999999998</v>
      </c>
      <c r="G409" s="6">
        <v>130.65</v>
      </c>
      <c r="H409" s="6">
        <v>29.422999999999998</v>
      </c>
      <c r="I409" s="6">
        <v>102.46</v>
      </c>
      <c r="J409" s="6">
        <v>174.83</v>
      </c>
      <c r="K409" s="6">
        <v>1.236</v>
      </c>
      <c r="L409" s="6">
        <v>10.119</v>
      </c>
      <c r="M409" s="6">
        <v>1.9345000000000001E-2</v>
      </c>
      <c r="N409" s="6" t="s">
        <v>20</v>
      </c>
    </row>
    <row r="410" spans="1:14" ht="17" x14ac:dyDescent="0.35">
      <c r="A410" s="9">
        <v>118.21</v>
      </c>
      <c r="B410" s="11">
        <v>22.922999999999998</v>
      </c>
      <c r="C410" s="6">
        <v>3.9022999999999999</v>
      </c>
      <c r="D410" s="6">
        <v>0.25625999999999999</v>
      </c>
      <c r="E410" s="6">
        <v>1.5858000000000001</v>
      </c>
      <c r="F410" s="6">
        <v>2.1732</v>
      </c>
      <c r="G410" s="6">
        <v>130.62</v>
      </c>
      <c r="H410" s="6">
        <v>29.454000000000001</v>
      </c>
      <c r="I410" s="6">
        <v>103.01</v>
      </c>
      <c r="J410" s="6">
        <v>174.77</v>
      </c>
      <c r="K410" s="6">
        <v>1.2342</v>
      </c>
      <c r="L410" s="6">
        <v>10.131</v>
      </c>
      <c r="M410" s="6">
        <v>1.9397999999999999E-2</v>
      </c>
      <c r="N410" s="6" t="s">
        <v>20</v>
      </c>
    </row>
    <row r="411" spans="1:14" ht="17" x14ac:dyDescent="0.35">
      <c r="A411" s="9">
        <v>118.26</v>
      </c>
      <c r="B411" s="11">
        <v>22.978999999999999</v>
      </c>
      <c r="C411" s="6">
        <v>3.9159000000000002</v>
      </c>
      <c r="D411" s="6">
        <v>0.25536999999999999</v>
      </c>
      <c r="E411" s="6">
        <v>1.5841000000000001</v>
      </c>
      <c r="F411" s="6">
        <v>2.1709999999999998</v>
      </c>
      <c r="G411" s="6">
        <v>130.59</v>
      </c>
      <c r="H411" s="6">
        <v>29.484999999999999</v>
      </c>
      <c r="I411" s="6">
        <v>103.56</v>
      </c>
      <c r="J411" s="6">
        <v>174.72</v>
      </c>
      <c r="K411" s="6">
        <v>1.2324999999999999</v>
      </c>
      <c r="L411" s="6">
        <v>10.141999999999999</v>
      </c>
      <c r="M411" s="6">
        <v>1.9451E-2</v>
      </c>
      <c r="N411" s="6" t="s">
        <v>20</v>
      </c>
    </row>
    <row r="412" spans="1:14" ht="17" x14ac:dyDescent="0.35">
      <c r="A412" s="9">
        <v>118.3</v>
      </c>
      <c r="B412" s="11">
        <v>23.036000000000001</v>
      </c>
      <c r="C412" s="6">
        <v>3.9295</v>
      </c>
      <c r="D412" s="6">
        <v>0.25447999999999998</v>
      </c>
      <c r="E412" s="6">
        <v>1.5825</v>
      </c>
      <c r="F412" s="6">
        <v>2.1686999999999999</v>
      </c>
      <c r="G412" s="6">
        <v>130.56</v>
      </c>
      <c r="H412" s="6">
        <v>29.516999999999999</v>
      </c>
      <c r="I412" s="6">
        <v>104.12</v>
      </c>
      <c r="J412" s="6">
        <v>174.67</v>
      </c>
      <c r="K412" s="6">
        <v>1.2306999999999999</v>
      </c>
      <c r="L412" s="6">
        <v>10.154</v>
      </c>
      <c r="M412" s="6">
        <v>1.9504000000000001E-2</v>
      </c>
      <c r="N412" s="6" t="s">
        <v>20</v>
      </c>
    </row>
    <row r="413" spans="1:14" ht="17" x14ac:dyDescent="0.35">
      <c r="A413" s="9">
        <v>118.35</v>
      </c>
      <c r="B413" s="11">
        <v>23.091999999999999</v>
      </c>
      <c r="C413" s="6">
        <v>3.9432</v>
      </c>
      <c r="D413" s="6">
        <v>0.25359999999999999</v>
      </c>
      <c r="E413" s="6">
        <v>1.5808</v>
      </c>
      <c r="F413" s="6">
        <v>2.1663999999999999</v>
      </c>
      <c r="G413" s="6">
        <v>130.53</v>
      </c>
      <c r="H413" s="6">
        <v>29.547999999999998</v>
      </c>
      <c r="I413" s="6">
        <v>104.68</v>
      </c>
      <c r="J413" s="6">
        <v>174.62</v>
      </c>
      <c r="K413" s="6">
        <v>1.2290000000000001</v>
      </c>
      <c r="L413" s="6">
        <v>10.166</v>
      </c>
      <c r="M413" s="6">
        <v>1.9557000000000001E-2</v>
      </c>
      <c r="N413" s="6" t="s">
        <v>20</v>
      </c>
    </row>
    <row r="414" spans="1:14" ht="17" x14ac:dyDescent="0.35">
      <c r="A414" s="9">
        <v>118.4</v>
      </c>
      <c r="B414" s="11">
        <v>23.148</v>
      </c>
      <c r="C414" s="6">
        <v>3.9569999999999999</v>
      </c>
      <c r="D414" s="6">
        <v>0.25272</v>
      </c>
      <c r="E414" s="6">
        <v>1.5791999999999999</v>
      </c>
      <c r="F414" s="6">
        <v>2.1642000000000001</v>
      </c>
      <c r="G414" s="6">
        <v>130.49</v>
      </c>
      <c r="H414" s="6">
        <v>29.58</v>
      </c>
      <c r="I414" s="6">
        <v>105.25</v>
      </c>
      <c r="J414" s="6">
        <v>174.56</v>
      </c>
      <c r="K414" s="6">
        <v>1.2272000000000001</v>
      </c>
      <c r="L414" s="6">
        <v>10.178000000000001</v>
      </c>
      <c r="M414" s="6">
        <v>1.9611E-2</v>
      </c>
      <c r="N414" s="6" t="s">
        <v>20</v>
      </c>
    </row>
    <row r="415" spans="1:14" ht="17" x14ac:dyDescent="0.35">
      <c r="A415" s="9">
        <v>118.45</v>
      </c>
      <c r="B415" s="11">
        <v>23.204999999999998</v>
      </c>
      <c r="C415" s="6">
        <v>3.9708000000000001</v>
      </c>
      <c r="D415" s="6">
        <v>0.25184000000000001</v>
      </c>
      <c r="E415" s="6">
        <v>1.5774999999999999</v>
      </c>
      <c r="F415" s="6">
        <v>2.1619000000000002</v>
      </c>
      <c r="G415" s="6">
        <v>130.46</v>
      </c>
      <c r="H415" s="6">
        <v>29.611999999999998</v>
      </c>
      <c r="I415" s="6">
        <v>105.82</v>
      </c>
      <c r="J415" s="6">
        <v>174.51</v>
      </c>
      <c r="K415" s="6">
        <v>1.2255</v>
      </c>
      <c r="L415" s="6">
        <v>10.19</v>
      </c>
      <c r="M415" s="6">
        <v>1.9664999999999998E-2</v>
      </c>
      <c r="N415" s="6" t="s">
        <v>20</v>
      </c>
    </row>
    <row r="416" spans="1:14" ht="17" x14ac:dyDescent="0.35">
      <c r="A416" s="9">
        <v>118.49</v>
      </c>
      <c r="B416" s="11">
        <v>23.260999999999999</v>
      </c>
      <c r="C416" s="6">
        <v>3.9845999999999999</v>
      </c>
      <c r="D416" s="6">
        <v>0.25097000000000003</v>
      </c>
      <c r="E416" s="6">
        <v>1.5758000000000001</v>
      </c>
      <c r="F416" s="6">
        <v>2.1596000000000002</v>
      </c>
      <c r="G416" s="6">
        <v>130.43</v>
      </c>
      <c r="H416" s="6">
        <v>29.643000000000001</v>
      </c>
      <c r="I416" s="6">
        <v>106.41</v>
      </c>
      <c r="J416" s="6">
        <v>174.46</v>
      </c>
      <c r="K416" s="6">
        <v>1.2237</v>
      </c>
      <c r="L416" s="6">
        <v>10.202</v>
      </c>
      <c r="M416" s="6">
        <v>1.9719E-2</v>
      </c>
      <c r="N416" s="6" t="s">
        <v>20</v>
      </c>
    </row>
    <row r="417" spans="1:14" ht="17" x14ac:dyDescent="0.35">
      <c r="A417" s="9">
        <v>118.54</v>
      </c>
      <c r="B417" s="11">
        <v>23.317</v>
      </c>
      <c r="C417" s="6">
        <v>3.9984999999999999</v>
      </c>
      <c r="D417" s="6">
        <v>0.25008999999999998</v>
      </c>
      <c r="E417" s="6">
        <v>1.5742</v>
      </c>
      <c r="F417" s="6">
        <v>2.1573000000000002</v>
      </c>
      <c r="G417" s="6">
        <v>130.4</v>
      </c>
      <c r="H417" s="6">
        <v>29.675000000000001</v>
      </c>
      <c r="I417" s="6">
        <v>107</v>
      </c>
      <c r="J417" s="6">
        <v>174.4</v>
      </c>
      <c r="K417" s="6">
        <v>1.2219</v>
      </c>
      <c r="L417" s="6">
        <v>10.215</v>
      </c>
      <c r="M417" s="6">
        <v>1.9774E-2</v>
      </c>
      <c r="N417" s="6" t="s">
        <v>20</v>
      </c>
    </row>
    <row r="418" spans="1:14" ht="17" x14ac:dyDescent="0.35">
      <c r="A418" s="9">
        <v>118.59</v>
      </c>
      <c r="B418" s="11">
        <v>23.373999999999999</v>
      </c>
      <c r="C418" s="6">
        <v>4.0124000000000004</v>
      </c>
      <c r="D418" s="6">
        <v>0.24923000000000001</v>
      </c>
      <c r="E418" s="6">
        <v>1.5725</v>
      </c>
      <c r="F418" s="6">
        <v>2.1549999999999998</v>
      </c>
      <c r="G418" s="6">
        <v>130.37</v>
      </c>
      <c r="H418" s="6">
        <v>29.707999999999998</v>
      </c>
      <c r="I418" s="6">
        <v>107.59</v>
      </c>
      <c r="J418" s="6">
        <v>174.35</v>
      </c>
      <c r="K418" s="6">
        <v>1.2202</v>
      </c>
      <c r="L418" s="6">
        <v>10.227</v>
      </c>
      <c r="M418" s="6">
        <v>1.9828999999999999E-2</v>
      </c>
      <c r="N418" s="6" t="s">
        <v>20</v>
      </c>
    </row>
    <row r="419" spans="1:14" ht="17" x14ac:dyDescent="0.35">
      <c r="A419" s="9">
        <v>118.64</v>
      </c>
      <c r="B419" s="11">
        <v>23.43</v>
      </c>
      <c r="C419" s="6">
        <v>4.0263999999999998</v>
      </c>
      <c r="D419" s="6">
        <v>0.24836</v>
      </c>
      <c r="E419" s="6">
        <v>1.5708</v>
      </c>
      <c r="F419" s="6">
        <v>2.1526999999999998</v>
      </c>
      <c r="G419" s="6">
        <v>130.34</v>
      </c>
      <c r="H419" s="6">
        <v>29.74</v>
      </c>
      <c r="I419" s="6">
        <v>108.19</v>
      </c>
      <c r="J419" s="6">
        <v>174.3</v>
      </c>
      <c r="K419" s="6">
        <v>1.2183999999999999</v>
      </c>
      <c r="L419" s="6">
        <v>10.239000000000001</v>
      </c>
      <c r="M419" s="6">
        <v>1.9883999999999999E-2</v>
      </c>
      <c r="N419" s="6" t="s">
        <v>20</v>
      </c>
    </row>
    <row r="420" spans="1:14" ht="17" x14ac:dyDescent="0.35">
      <c r="A420" s="9">
        <v>118.68</v>
      </c>
      <c r="B420" s="11">
        <v>23.486000000000001</v>
      </c>
      <c r="C420" s="6">
        <v>4.0404</v>
      </c>
      <c r="D420" s="6">
        <v>0.2475</v>
      </c>
      <c r="E420" s="6">
        <v>1.5690999999999999</v>
      </c>
      <c r="F420" s="6">
        <v>2.1503000000000001</v>
      </c>
      <c r="G420" s="6">
        <v>130.31</v>
      </c>
      <c r="H420" s="6">
        <v>29.771999999999998</v>
      </c>
      <c r="I420" s="6">
        <v>108.8</v>
      </c>
      <c r="J420" s="6">
        <v>174.24</v>
      </c>
      <c r="K420" s="6">
        <v>1.2165999999999999</v>
      </c>
      <c r="L420" s="6">
        <v>10.250999999999999</v>
      </c>
      <c r="M420" s="6">
        <v>1.9939999999999999E-2</v>
      </c>
      <c r="N420" s="6" t="s">
        <v>20</v>
      </c>
    </row>
    <row r="421" spans="1:14" ht="17" x14ac:dyDescent="0.35">
      <c r="A421" s="9">
        <v>118.73</v>
      </c>
      <c r="B421" s="11">
        <v>23.542000000000002</v>
      </c>
      <c r="C421" s="6">
        <v>4.0545</v>
      </c>
      <c r="D421" s="6">
        <v>0.24664</v>
      </c>
      <c r="E421" s="6">
        <v>1.5672999999999999</v>
      </c>
      <c r="F421" s="6">
        <v>2.1480000000000001</v>
      </c>
      <c r="G421" s="6">
        <v>130.27000000000001</v>
      </c>
      <c r="H421" s="6">
        <v>29.805</v>
      </c>
      <c r="I421" s="6">
        <v>109.42</v>
      </c>
      <c r="J421" s="6">
        <v>174.19</v>
      </c>
      <c r="K421" s="6">
        <v>1.2149000000000001</v>
      </c>
      <c r="L421" s="6">
        <v>10.263999999999999</v>
      </c>
      <c r="M421" s="6">
        <v>1.9996E-2</v>
      </c>
      <c r="N421" s="6" t="s">
        <v>20</v>
      </c>
    </row>
    <row r="422" spans="1:14" ht="17" x14ac:dyDescent="0.35">
      <c r="A422" s="9">
        <v>118.78</v>
      </c>
      <c r="B422" s="11">
        <v>23.599</v>
      </c>
      <c r="C422" s="6">
        <v>4.0686</v>
      </c>
      <c r="D422" s="6">
        <v>0.24579000000000001</v>
      </c>
      <c r="E422" s="6">
        <v>1.5656000000000001</v>
      </c>
      <c r="F422" s="6">
        <v>2.1456</v>
      </c>
      <c r="G422" s="6">
        <v>130.24</v>
      </c>
      <c r="H422" s="6">
        <v>29.838000000000001</v>
      </c>
      <c r="I422" s="6">
        <v>110.04</v>
      </c>
      <c r="J422" s="6">
        <v>174.13</v>
      </c>
      <c r="K422" s="6">
        <v>1.2131000000000001</v>
      </c>
      <c r="L422" s="6">
        <v>10.276</v>
      </c>
      <c r="M422" s="6">
        <v>2.0053000000000001E-2</v>
      </c>
      <c r="N422" s="6" t="s">
        <v>20</v>
      </c>
    </row>
    <row r="423" spans="1:14" ht="17" x14ac:dyDescent="0.35">
      <c r="A423" s="9">
        <v>118.82</v>
      </c>
      <c r="B423" s="11">
        <v>23.655000000000001</v>
      </c>
      <c r="C423" s="6">
        <v>4.0827</v>
      </c>
      <c r="D423" s="6">
        <v>0.24493000000000001</v>
      </c>
      <c r="E423" s="6">
        <v>1.5639000000000001</v>
      </c>
      <c r="F423" s="6">
        <v>2.1433</v>
      </c>
      <c r="G423" s="6">
        <v>130.21</v>
      </c>
      <c r="H423" s="6">
        <v>29.870999999999999</v>
      </c>
      <c r="I423" s="6">
        <v>110.67</v>
      </c>
      <c r="J423" s="6">
        <v>174.08</v>
      </c>
      <c r="K423" s="6">
        <v>1.2113</v>
      </c>
      <c r="L423" s="6">
        <v>10.288</v>
      </c>
      <c r="M423" s="6">
        <v>2.0109999999999999E-2</v>
      </c>
      <c r="N423" s="6" t="s">
        <v>20</v>
      </c>
    </row>
    <row r="424" spans="1:14" ht="17" x14ac:dyDescent="0.35">
      <c r="A424" s="9">
        <v>118.87</v>
      </c>
      <c r="B424" s="11">
        <v>23.710999999999999</v>
      </c>
      <c r="C424" s="6">
        <v>4.0968999999999998</v>
      </c>
      <c r="D424" s="6">
        <v>0.24409</v>
      </c>
      <c r="E424" s="6">
        <v>1.5621</v>
      </c>
      <c r="F424" s="6">
        <v>2.1408999999999998</v>
      </c>
      <c r="G424" s="6">
        <v>130.18</v>
      </c>
      <c r="H424" s="6">
        <v>29.904</v>
      </c>
      <c r="I424" s="6">
        <v>111.3</v>
      </c>
      <c r="J424" s="6">
        <v>174.03</v>
      </c>
      <c r="K424" s="6">
        <v>1.2095</v>
      </c>
      <c r="L424" s="6">
        <v>10.301</v>
      </c>
      <c r="M424" s="6">
        <v>2.0167000000000001E-2</v>
      </c>
      <c r="N424" s="6" t="s">
        <v>20</v>
      </c>
    </row>
    <row r="425" spans="1:14" ht="17" x14ac:dyDescent="0.35">
      <c r="A425" s="9">
        <v>118.92</v>
      </c>
      <c r="B425" s="11">
        <v>23.768000000000001</v>
      </c>
      <c r="C425" s="6">
        <v>4.1112000000000002</v>
      </c>
      <c r="D425" s="6">
        <v>0.24324000000000001</v>
      </c>
      <c r="E425" s="6">
        <v>1.5604</v>
      </c>
      <c r="F425" s="6">
        <v>2.1385000000000001</v>
      </c>
      <c r="G425" s="6">
        <v>130.15</v>
      </c>
      <c r="H425" s="6">
        <v>29.937000000000001</v>
      </c>
      <c r="I425" s="6">
        <v>111.95</v>
      </c>
      <c r="J425" s="6">
        <v>173.97</v>
      </c>
      <c r="K425" s="6">
        <v>1.2077</v>
      </c>
      <c r="L425" s="6">
        <v>10.313000000000001</v>
      </c>
      <c r="M425" s="6">
        <v>2.0223999999999999E-2</v>
      </c>
      <c r="N425" s="6" t="s">
        <v>20</v>
      </c>
    </row>
    <row r="426" spans="1:14" ht="17" x14ac:dyDescent="0.35">
      <c r="A426" s="9">
        <v>118.96</v>
      </c>
      <c r="B426" s="11">
        <v>23.824000000000002</v>
      </c>
      <c r="C426" s="6">
        <v>4.1254999999999997</v>
      </c>
      <c r="D426" s="6">
        <v>0.2424</v>
      </c>
      <c r="E426" s="6">
        <v>1.5586</v>
      </c>
      <c r="F426" s="6">
        <v>2.1360999999999999</v>
      </c>
      <c r="G426" s="6">
        <v>130.12</v>
      </c>
      <c r="H426" s="6">
        <v>29.97</v>
      </c>
      <c r="I426" s="6">
        <v>112.6</v>
      </c>
      <c r="J426" s="6">
        <v>173.92</v>
      </c>
      <c r="K426" s="6">
        <v>1.2059</v>
      </c>
      <c r="L426" s="6">
        <v>10.326000000000001</v>
      </c>
      <c r="M426" s="6">
        <v>2.0282000000000001E-2</v>
      </c>
      <c r="N426" s="6" t="s">
        <v>20</v>
      </c>
    </row>
    <row r="427" spans="1:14" ht="17" x14ac:dyDescent="0.35">
      <c r="A427" s="9">
        <v>119.01</v>
      </c>
      <c r="B427" s="11">
        <v>23.88</v>
      </c>
      <c r="C427" s="6">
        <v>4.1398000000000001</v>
      </c>
      <c r="D427" s="6">
        <v>0.24156</v>
      </c>
      <c r="E427" s="6">
        <v>1.5568</v>
      </c>
      <c r="F427" s="6">
        <v>2.1337000000000002</v>
      </c>
      <c r="G427" s="6">
        <v>130.08000000000001</v>
      </c>
      <c r="H427" s="6">
        <v>30.003</v>
      </c>
      <c r="I427" s="6">
        <v>113.25</v>
      </c>
      <c r="J427" s="6">
        <v>173.86</v>
      </c>
      <c r="K427" s="6">
        <v>1.2041999999999999</v>
      </c>
      <c r="L427" s="6">
        <v>10.337999999999999</v>
      </c>
      <c r="M427" s="6">
        <v>2.0341000000000001E-2</v>
      </c>
      <c r="N427" s="6" t="s">
        <v>20</v>
      </c>
    </row>
    <row r="428" spans="1:14" ht="17" x14ac:dyDescent="0.35">
      <c r="A428" s="9">
        <v>119.06</v>
      </c>
      <c r="B428" s="11">
        <v>23.936</v>
      </c>
      <c r="C428" s="6">
        <v>4.1542000000000003</v>
      </c>
      <c r="D428" s="6">
        <v>0.24071999999999999</v>
      </c>
      <c r="E428" s="6">
        <v>1.5549999999999999</v>
      </c>
      <c r="F428" s="6">
        <v>2.1312000000000002</v>
      </c>
      <c r="G428" s="6">
        <v>130.05000000000001</v>
      </c>
      <c r="H428" s="6">
        <v>30.036999999999999</v>
      </c>
      <c r="I428" s="6">
        <v>113.92</v>
      </c>
      <c r="J428" s="6">
        <v>173.81</v>
      </c>
      <c r="K428" s="6">
        <v>1.2023999999999999</v>
      </c>
      <c r="L428" s="6">
        <v>10.351000000000001</v>
      </c>
      <c r="M428" s="6">
        <v>2.0399E-2</v>
      </c>
      <c r="N428" s="6" t="s">
        <v>20</v>
      </c>
    </row>
    <row r="429" spans="1:14" ht="17" x14ac:dyDescent="0.35">
      <c r="A429" s="9">
        <v>119.1</v>
      </c>
      <c r="B429" s="11">
        <v>23.992999999999999</v>
      </c>
      <c r="C429" s="6">
        <v>4.1687000000000003</v>
      </c>
      <c r="D429" s="6">
        <v>0.23988000000000001</v>
      </c>
      <c r="E429" s="6">
        <v>1.5531999999999999</v>
      </c>
      <c r="F429" s="6">
        <v>2.1288</v>
      </c>
      <c r="G429" s="6">
        <v>130.02000000000001</v>
      </c>
      <c r="H429" s="6">
        <v>30.071000000000002</v>
      </c>
      <c r="I429" s="6">
        <v>114.59</v>
      </c>
      <c r="J429" s="6">
        <v>173.75</v>
      </c>
      <c r="K429" s="6">
        <v>1.2005999999999999</v>
      </c>
      <c r="L429" s="6">
        <v>10.363</v>
      </c>
      <c r="M429" s="6">
        <v>2.0458E-2</v>
      </c>
      <c r="N429" s="6" t="s">
        <v>20</v>
      </c>
    </row>
    <row r="430" spans="1:14" ht="17" x14ac:dyDescent="0.35">
      <c r="A430" s="9">
        <v>119.15</v>
      </c>
      <c r="B430" s="11">
        <v>24.048999999999999</v>
      </c>
      <c r="C430" s="6">
        <v>4.1832000000000003</v>
      </c>
      <c r="D430" s="6">
        <v>0.23905000000000001</v>
      </c>
      <c r="E430" s="6">
        <v>1.5513999999999999</v>
      </c>
      <c r="F430" s="6">
        <v>2.1263000000000001</v>
      </c>
      <c r="G430" s="6">
        <v>129.99</v>
      </c>
      <c r="H430" s="6">
        <v>30.105</v>
      </c>
      <c r="I430" s="6">
        <v>115.27</v>
      </c>
      <c r="J430" s="6">
        <v>173.69</v>
      </c>
      <c r="K430" s="6">
        <v>1.1988000000000001</v>
      </c>
      <c r="L430" s="6">
        <v>10.375999999999999</v>
      </c>
      <c r="M430" s="6">
        <v>2.0518000000000002E-2</v>
      </c>
      <c r="N430" s="6" t="s">
        <v>20</v>
      </c>
    </row>
    <row r="431" spans="1:14" ht="17" x14ac:dyDescent="0.35">
      <c r="A431" s="9">
        <v>119.19</v>
      </c>
      <c r="B431" s="11">
        <v>24.105</v>
      </c>
      <c r="C431" s="6">
        <v>4.1977000000000002</v>
      </c>
      <c r="D431" s="6">
        <v>0.23821999999999999</v>
      </c>
      <c r="E431" s="6">
        <v>1.5496000000000001</v>
      </c>
      <c r="F431" s="6">
        <v>2.1238999999999999</v>
      </c>
      <c r="G431" s="6">
        <v>129.96</v>
      </c>
      <c r="H431" s="6">
        <v>30.138999999999999</v>
      </c>
      <c r="I431" s="6">
        <v>115.96</v>
      </c>
      <c r="J431" s="6">
        <v>173.64</v>
      </c>
      <c r="K431" s="6">
        <v>1.1970000000000001</v>
      </c>
      <c r="L431" s="6">
        <v>10.388999999999999</v>
      </c>
      <c r="M431" s="6">
        <v>2.0577999999999999E-2</v>
      </c>
      <c r="N431" s="6" t="s">
        <v>20</v>
      </c>
    </row>
    <row r="432" spans="1:14" ht="17" x14ac:dyDescent="0.35">
      <c r="A432" s="9">
        <v>119.24</v>
      </c>
      <c r="B432" s="11">
        <v>24.161999999999999</v>
      </c>
      <c r="C432" s="6">
        <v>4.2122999999999999</v>
      </c>
      <c r="D432" s="6">
        <v>0.2374</v>
      </c>
      <c r="E432" s="6">
        <v>1.5478000000000001</v>
      </c>
      <c r="F432" s="6">
        <v>2.1214</v>
      </c>
      <c r="G432" s="6">
        <v>129.91999999999999</v>
      </c>
      <c r="H432" s="6">
        <v>30.172999999999998</v>
      </c>
      <c r="I432" s="6">
        <v>116.66</v>
      </c>
      <c r="J432" s="6">
        <v>173.58</v>
      </c>
      <c r="K432" s="6">
        <v>1.1951000000000001</v>
      </c>
      <c r="L432" s="6">
        <v>10.401999999999999</v>
      </c>
      <c r="M432" s="6">
        <v>2.0638E-2</v>
      </c>
      <c r="N432" s="6" t="s">
        <v>20</v>
      </c>
    </row>
    <row r="433" spans="1:14" ht="17" x14ac:dyDescent="0.35">
      <c r="A433" s="9">
        <v>119.29</v>
      </c>
      <c r="B433" s="11">
        <v>24.218</v>
      </c>
      <c r="C433" s="6">
        <v>4.2270000000000003</v>
      </c>
      <c r="D433" s="6">
        <v>0.23658000000000001</v>
      </c>
      <c r="E433" s="6">
        <v>1.5459000000000001</v>
      </c>
      <c r="F433" s="6">
        <v>2.1189</v>
      </c>
      <c r="G433" s="6">
        <v>129.88999999999999</v>
      </c>
      <c r="H433" s="6">
        <v>30.207999999999998</v>
      </c>
      <c r="I433" s="6">
        <v>117.37</v>
      </c>
      <c r="J433" s="6">
        <v>173.53</v>
      </c>
      <c r="K433" s="6">
        <v>1.1933</v>
      </c>
      <c r="L433" s="6">
        <v>10.414</v>
      </c>
      <c r="M433" s="6">
        <v>2.0698999999999999E-2</v>
      </c>
      <c r="N433" s="6" t="s">
        <v>20</v>
      </c>
    </row>
    <row r="434" spans="1:14" ht="17" x14ac:dyDescent="0.35">
      <c r="A434" s="9">
        <v>119.33</v>
      </c>
      <c r="B434" s="11">
        <v>24.274000000000001</v>
      </c>
      <c r="C434" s="6">
        <v>4.2416999999999998</v>
      </c>
      <c r="D434" s="6">
        <v>0.23576</v>
      </c>
      <c r="E434" s="6">
        <v>1.5441</v>
      </c>
      <c r="F434" s="6">
        <v>2.1164000000000001</v>
      </c>
      <c r="G434" s="6">
        <v>129.86000000000001</v>
      </c>
      <c r="H434" s="6">
        <v>30.242000000000001</v>
      </c>
      <c r="I434" s="6">
        <v>118.08</v>
      </c>
      <c r="J434" s="6">
        <v>173.47</v>
      </c>
      <c r="K434" s="6">
        <v>1.1915</v>
      </c>
      <c r="L434" s="6">
        <v>10.427</v>
      </c>
      <c r="M434" s="6">
        <v>2.0760000000000001E-2</v>
      </c>
      <c r="N434" s="6" t="s">
        <v>20</v>
      </c>
    </row>
    <row r="435" spans="1:14" ht="17" x14ac:dyDescent="0.35">
      <c r="A435" s="9">
        <v>119.38</v>
      </c>
      <c r="B435" s="11">
        <v>24.33</v>
      </c>
      <c r="C435" s="6">
        <v>4.2564000000000002</v>
      </c>
      <c r="D435" s="6">
        <v>0.23494000000000001</v>
      </c>
      <c r="E435" s="6">
        <v>1.5422</v>
      </c>
      <c r="F435" s="6">
        <v>2.1139000000000001</v>
      </c>
      <c r="G435" s="6">
        <v>129.83000000000001</v>
      </c>
      <c r="H435" s="6">
        <v>30.277000000000001</v>
      </c>
      <c r="I435" s="6">
        <v>118.8</v>
      </c>
      <c r="J435" s="6">
        <v>173.41</v>
      </c>
      <c r="K435" s="6">
        <v>1.1897</v>
      </c>
      <c r="L435" s="6">
        <v>10.44</v>
      </c>
      <c r="M435" s="6">
        <v>2.0820999999999999E-2</v>
      </c>
      <c r="N435" s="6" t="s">
        <v>20</v>
      </c>
    </row>
    <row r="436" spans="1:14" ht="17" x14ac:dyDescent="0.35">
      <c r="A436" s="9">
        <v>119.42</v>
      </c>
      <c r="B436" s="11">
        <v>24.387</v>
      </c>
      <c r="C436" s="6">
        <v>4.2712000000000003</v>
      </c>
      <c r="D436" s="6">
        <v>0.23411999999999999</v>
      </c>
      <c r="E436" s="6">
        <v>1.5404</v>
      </c>
      <c r="F436" s="6">
        <v>2.1113</v>
      </c>
      <c r="G436" s="6">
        <v>129.80000000000001</v>
      </c>
      <c r="H436" s="6">
        <v>30.312000000000001</v>
      </c>
      <c r="I436" s="6">
        <v>119.54</v>
      </c>
      <c r="J436" s="6">
        <v>173.36</v>
      </c>
      <c r="K436" s="6">
        <v>1.1879</v>
      </c>
      <c r="L436" s="6">
        <v>10.452999999999999</v>
      </c>
      <c r="M436" s="6">
        <v>2.0882999999999999E-2</v>
      </c>
      <c r="N436" s="6" t="s">
        <v>20</v>
      </c>
    </row>
    <row r="437" spans="1:14" ht="17" x14ac:dyDescent="0.35">
      <c r="A437" s="9">
        <v>119.47</v>
      </c>
      <c r="B437" s="11">
        <v>24.443000000000001</v>
      </c>
      <c r="C437" s="6">
        <v>4.2861000000000002</v>
      </c>
      <c r="D437" s="6">
        <v>0.23330999999999999</v>
      </c>
      <c r="E437" s="6">
        <v>1.5385</v>
      </c>
      <c r="F437" s="6">
        <v>2.1088</v>
      </c>
      <c r="G437" s="6">
        <v>129.76</v>
      </c>
      <c r="H437" s="6">
        <v>30.347000000000001</v>
      </c>
      <c r="I437" s="6">
        <v>120.28</v>
      </c>
      <c r="J437" s="6">
        <v>173.3</v>
      </c>
      <c r="K437" s="6">
        <v>1.1860999999999999</v>
      </c>
      <c r="L437" s="6">
        <v>10.465999999999999</v>
      </c>
      <c r="M437" s="6">
        <v>2.0945999999999999E-2</v>
      </c>
      <c r="N437" s="6" t="s">
        <v>20</v>
      </c>
    </row>
    <row r="438" spans="1:14" ht="17" x14ac:dyDescent="0.35">
      <c r="A438" s="9">
        <v>119.51</v>
      </c>
      <c r="B438" s="11">
        <v>24.498999999999999</v>
      </c>
      <c r="C438" s="6">
        <v>4.3010000000000002</v>
      </c>
      <c r="D438" s="6">
        <v>0.23250000000000001</v>
      </c>
      <c r="E438" s="6">
        <v>1.5366</v>
      </c>
      <c r="F438" s="6">
        <v>2.1061999999999999</v>
      </c>
      <c r="G438" s="6">
        <v>129.72999999999999</v>
      </c>
      <c r="H438" s="6">
        <v>30.382000000000001</v>
      </c>
      <c r="I438" s="6">
        <v>121.03</v>
      </c>
      <c r="J438" s="6">
        <v>173.24</v>
      </c>
      <c r="K438" s="6">
        <v>1.1841999999999999</v>
      </c>
      <c r="L438" s="6">
        <v>10.478999999999999</v>
      </c>
      <c r="M438" s="6">
        <v>2.1009E-2</v>
      </c>
      <c r="N438" s="6" t="s">
        <v>20</v>
      </c>
    </row>
    <row r="439" spans="1:14" ht="17" x14ac:dyDescent="0.35">
      <c r="A439" s="9">
        <v>119.56</v>
      </c>
      <c r="B439" s="11">
        <v>24.556000000000001</v>
      </c>
      <c r="C439" s="6">
        <v>4.3159999999999998</v>
      </c>
      <c r="D439" s="6">
        <v>0.23169999999999999</v>
      </c>
      <c r="E439" s="6">
        <v>1.5347</v>
      </c>
      <c r="F439" s="6">
        <v>2.1036999999999999</v>
      </c>
      <c r="G439" s="6">
        <v>129.69999999999999</v>
      </c>
      <c r="H439" s="6">
        <v>30.417999999999999</v>
      </c>
      <c r="I439" s="6">
        <v>121.79</v>
      </c>
      <c r="J439" s="6">
        <v>173.18</v>
      </c>
      <c r="K439" s="6">
        <v>1.1823999999999999</v>
      </c>
      <c r="L439" s="6">
        <v>10.492000000000001</v>
      </c>
      <c r="M439" s="6">
        <v>2.1072E-2</v>
      </c>
      <c r="N439" s="6" t="s">
        <v>20</v>
      </c>
    </row>
    <row r="440" spans="1:14" ht="17" x14ac:dyDescent="0.35">
      <c r="A440" s="9">
        <v>119.61</v>
      </c>
      <c r="B440" s="11">
        <v>24.611999999999998</v>
      </c>
      <c r="C440" s="6">
        <v>4.3310000000000004</v>
      </c>
      <c r="D440" s="6">
        <v>0.23089000000000001</v>
      </c>
      <c r="E440" s="6">
        <v>1.5327999999999999</v>
      </c>
      <c r="F440" s="6">
        <v>2.1011000000000002</v>
      </c>
      <c r="G440" s="6">
        <v>129.66999999999999</v>
      </c>
      <c r="H440" s="6">
        <v>30.452999999999999</v>
      </c>
      <c r="I440" s="6">
        <v>122.55</v>
      </c>
      <c r="J440" s="6">
        <v>173.13</v>
      </c>
      <c r="K440" s="6">
        <v>1.1806000000000001</v>
      </c>
      <c r="L440" s="6">
        <v>10.506</v>
      </c>
      <c r="M440" s="6">
        <v>2.1135999999999999E-2</v>
      </c>
      <c r="N440" s="6" t="s">
        <v>20</v>
      </c>
    </row>
    <row r="441" spans="1:14" ht="17" x14ac:dyDescent="0.35">
      <c r="A441" s="9">
        <v>119.65</v>
      </c>
      <c r="B441" s="11">
        <v>24.667999999999999</v>
      </c>
      <c r="C441" s="6">
        <v>4.3460999999999999</v>
      </c>
      <c r="D441" s="6">
        <v>0.23008999999999999</v>
      </c>
      <c r="E441" s="6">
        <v>1.5308999999999999</v>
      </c>
      <c r="F441" s="6">
        <v>2.0985</v>
      </c>
      <c r="G441" s="6">
        <v>129.63</v>
      </c>
      <c r="H441" s="6">
        <v>30.489000000000001</v>
      </c>
      <c r="I441" s="6">
        <v>123.33</v>
      </c>
      <c r="J441" s="6">
        <v>173.07</v>
      </c>
      <c r="K441" s="6">
        <v>1.1787000000000001</v>
      </c>
      <c r="L441" s="6">
        <v>10.519</v>
      </c>
      <c r="M441" s="6">
        <v>2.12E-2</v>
      </c>
      <c r="N441" s="6" t="s">
        <v>20</v>
      </c>
    </row>
    <row r="442" spans="1:14" ht="17" x14ac:dyDescent="0.35">
      <c r="A442" s="9">
        <v>119.7</v>
      </c>
      <c r="B442" s="11">
        <v>24.725000000000001</v>
      </c>
      <c r="C442" s="6">
        <v>4.3612000000000002</v>
      </c>
      <c r="D442" s="6">
        <v>0.22928999999999999</v>
      </c>
      <c r="E442" s="6">
        <v>1.5289999999999999</v>
      </c>
      <c r="F442" s="6">
        <v>2.0958999999999999</v>
      </c>
      <c r="G442" s="6">
        <v>129.6</v>
      </c>
      <c r="H442" s="6">
        <v>30.524999999999999</v>
      </c>
      <c r="I442" s="6">
        <v>124.12</v>
      </c>
      <c r="J442" s="6">
        <v>173.01</v>
      </c>
      <c r="K442" s="6">
        <v>1.1769000000000001</v>
      </c>
      <c r="L442" s="6">
        <v>10.532</v>
      </c>
      <c r="M442" s="6">
        <v>2.1264000000000002E-2</v>
      </c>
      <c r="N442" s="6" t="s">
        <v>20</v>
      </c>
    </row>
    <row r="443" spans="1:14" ht="17" x14ac:dyDescent="0.35">
      <c r="A443" s="9">
        <v>119.74</v>
      </c>
      <c r="B443" s="11">
        <v>24.780999999999999</v>
      </c>
      <c r="C443" s="6">
        <v>4.3764000000000003</v>
      </c>
      <c r="D443" s="6">
        <v>0.22850000000000001</v>
      </c>
      <c r="E443" s="6">
        <v>1.5269999999999999</v>
      </c>
      <c r="F443" s="6">
        <v>2.0931999999999999</v>
      </c>
      <c r="G443" s="6">
        <v>129.57</v>
      </c>
      <c r="H443" s="6">
        <v>30.561</v>
      </c>
      <c r="I443" s="6">
        <v>124.92</v>
      </c>
      <c r="J443" s="6">
        <v>172.95</v>
      </c>
      <c r="K443" s="6">
        <v>1.175</v>
      </c>
      <c r="L443" s="6">
        <v>10.545</v>
      </c>
      <c r="M443" s="6">
        <v>2.1329000000000001E-2</v>
      </c>
      <c r="N443" s="6" t="s">
        <v>20</v>
      </c>
    </row>
    <row r="444" spans="1:14" ht="17" x14ac:dyDescent="0.35">
      <c r="A444" s="9">
        <v>119.79</v>
      </c>
      <c r="B444" s="11">
        <v>24.837</v>
      </c>
      <c r="C444" s="6">
        <v>4.3917000000000002</v>
      </c>
      <c r="D444" s="6">
        <v>0.22770000000000001</v>
      </c>
      <c r="E444" s="6">
        <v>1.5250999999999999</v>
      </c>
      <c r="F444" s="6">
        <v>2.0905999999999998</v>
      </c>
      <c r="G444" s="6">
        <v>129.54</v>
      </c>
      <c r="H444" s="6">
        <v>30.597000000000001</v>
      </c>
      <c r="I444" s="6">
        <v>125.72</v>
      </c>
      <c r="J444" s="6">
        <v>172.89</v>
      </c>
      <c r="K444" s="6">
        <v>1.1732</v>
      </c>
      <c r="L444" s="6">
        <v>10.558999999999999</v>
      </c>
      <c r="M444" s="6">
        <v>2.1395000000000001E-2</v>
      </c>
      <c r="N444" s="6" t="s">
        <v>20</v>
      </c>
    </row>
    <row r="445" spans="1:14" ht="17" x14ac:dyDescent="0.35">
      <c r="A445" s="9">
        <v>119.83</v>
      </c>
      <c r="B445" s="11">
        <v>24.893000000000001</v>
      </c>
      <c r="C445" s="6">
        <v>4.407</v>
      </c>
      <c r="D445" s="6">
        <v>0.22691</v>
      </c>
      <c r="E445" s="6">
        <v>1.5230999999999999</v>
      </c>
      <c r="F445" s="6">
        <v>2.0880000000000001</v>
      </c>
      <c r="G445" s="6">
        <v>129.5</v>
      </c>
      <c r="H445" s="6">
        <v>30.634</v>
      </c>
      <c r="I445" s="6">
        <v>126.54</v>
      </c>
      <c r="J445" s="6">
        <v>172.83</v>
      </c>
      <c r="K445" s="6">
        <v>1.1713</v>
      </c>
      <c r="L445" s="6">
        <v>10.571999999999999</v>
      </c>
      <c r="M445" s="6">
        <v>2.1461000000000001E-2</v>
      </c>
      <c r="N445" s="6" t="s">
        <v>20</v>
      </c>
    </row>
    <row r="446" spans="1:14" ht="17" x14ac:dyDescent="0.35">
      <c r="A446" s="9">
        <v>119.88</v>
      </c>
      <c r="B446" s="11">
        <v>24.95</v>
      </c>
      <c r="C446" s="6">
        <v>4.4223999999999997</v>
      </c>
      <c r="D446" s="6">
        <v>0.22611999999999999</v>
      </c>
      <c r="E446" s="6">
        <v>1.5210999999999999</v>
      </c>
      <c r="F446" s="6">
        <v>2.0853000000000002</v>
      </c>
      <c r="G446" s="6">
        <v>129.47</v>
      </c>
      <c r="H446" s="6">
        <v>30.670999999999999</v>
      </c>
      <c r="I446" s="6">
        <v>127.37</v>
      </c>
      <c r="J446" s="6">
        <v>172.77</v>
      </c>
      <c r="K446" s="6">
        <v>1.1695</v>
      </c>
      <c r="L446" s="6">
        <v>10.586</v>
      </c>
      <c r="M446" s="6">
        <v>2.1527999999999999E-2</v>
      </c>
      <c r="N446" s="6" t="s">
        <v>20</v>
      </c>
    </row>
    <row r="447" spans="1:14" ht="17" x14ac:dyDescent="0.35">
      <c r="A447" s="9">
        <v>119.92</v>
      </c>
      <c r="B447" s="11">
        <v>25.006</v>
      </c>
      <c r="C447" s="6">
        <v>4.4378000000000002</v>
      </c>
      <c r="D447" s="6">
        <v>0.22534000000000001</v>
      </c>
      <c r="E447" s="6">
        <v>1.5190999999999999</v>
      </c>
      <c r="F447" s="6">
        <v>2.0825999999999998</v>
      </c>
      <c r="G447" s="6">
        <v>129.44</v>
      </c>
      <c r="H447" s="6">
        <v>30.707000000000001</v>
      </c>
      <c r="I447" s="6">
        <v>128.21</v>
      </c>
      <c r="J447" s="6">
        <v>172.71</v>
      </c>
      <c r="K447" s="6">
        <v>1.1676</v>
      </c>
      <c r="L447" s="6">
        <v>10.599</v>
      </c>
      <c r="M447" s="6">
        <v>2.1595E-2</v>
      </c>
      <c r="N447" s="6" t="s">
        <v>20</v>
      </c>
    </row>
    <row r="448" spans="1:14" ht="17" x14ac:dyDescent="0.35">
      <c r="A448" s="9">
        <v>119.97</v>
      </c>
      <c r="B448" s="11">
        <v>25.062000000000001</v>
      </c>
      <c r="C448" s="6">
        <v>4.4532999999999996</v>
      </c>
      <c r="D448" s="6">
        <v>0.22455</v>
      </c>
      <c r="E448" s="6">
        <v>1.5170999999999999</v>
      </c>
      <c r="F448" s="6">
        <v>2.0798999999999999</v>
      </c>
      <c r="G448" s="6">
        <v>129.4</v>
      </c>
      <c r="H448" s="6">
        <v>30.745000000000001</v>
      </c>
      <c r="I448" s="6">
        <v>129.06</v>
      </c>
      <c r="J448" s="6">
        <v>172.66</v>
      </c>
      <c r="K448" s="6">
        <v>1.1657</v>
      </c>
      <c r="L448" s="6">
        <v>10.613</v>
      </c>
      <c r="M448" s="6">
        <v>2.1662000000000001E-2</v>
      </c>
      <c r="N448" s="6" t="s">
        <v>20</v>
      </c>
    </row>
    <row r="449" spans="1:14" ht="17" x14ac:dyDescent="0.35">
      <c r="A449" s="9">
        <v>120.01</v>
      </c>
      <c r="B449" s="11">
        <v>25.119</v>
      </c>
      <c r="C449" s="6">
        <v>4.4687999999999999</v>
      </c>
      <c r="D449" s="6">
        <v>0.22377</v>
      </c>
      <c r="E449" s="6">
        <v>1.5150999999999999</v>
      </c>
      <c r="F449" s="6">
        <v>2.0771999999999999</v>
      </c>
      <c r="G449" s="6">
        <v>129.37</v>
      </c>
      <c r="H449" s="6">
        <v>30.782</v>
      </c>
      <c r="I449" s="6">
        <v>129.91999999999999</v>
      </c>
      <c r="J449" s="6">
        <v>172.6</v>
      </c>
      <c r="K449" s="6">
        <v>1.1638999999999999</v>
      </c>
      <c r="L449" s="6">
        <v>10.627000000000001</v>
      </c>
      <c r="M449" s="6">
        <v>2.1729999999999999E-2</v>
      </c>
      <c r="N449" s="6" t="s">
        <v>20</v>
      </c>
    </row>
    <row r="450" spans="1:14" ht="17" x14ac:dyDescent="0.35">
      <c r="A450" s="9">
        <v>120.05</v>
      </c>
      <c r="B450" s="11">
        <v>25.175000000000001</v>
      </c>
      <c r="C450" s="6">
        <v>4.4843999999999999</v>
      </c>
      <c r="D450" s="6">
        <v>0.22298999999999999</v>
      </c>
      <c r="E450" s="6">
        <v>1.5130999999999999</v>
      </c>
      <c r="F450" s="6">
        <v>2.0745</v>
      </c>
      <c r="G450" s="6">
        <v>129.34</v>
      </c>
      <c r="H450" s="6">
        <v>30.818999999999999</v>
      </c>
      <c r="I450" s="6">
        <v>130.80000000000001</v>
      </c>
      <c r="J450" s="6">
        <v>172.54</v>
      </c>
      <c r="K450" s="6">
        <v>1.1619999999999999</v>
      </c>
      <c r="L450" s="6">
        <v>10.64</v>
      </c>
      <c r="M450" s="6">
        <v>2.1798999999999999E-2</v>
      </c>
      <c r="N450" s="6" t="s">
        <v>20</v>
      </c>
    </row>
    <row r="451" spans="1:14" ht="17" x14ac:dyDescent="0.35">
      <c r="A451" s="9">
        <v>120.1</v>
      </c>
      <c r="B451" s="11">
        <v>25.231000000000002</v>
      </c>
      <c r="C451" s="6">
        <v>4.5000999999999998</v>
      </c>
      <c r="D451" s="6">
        <v>0.22222</v>
      </c>
      <c r="E451" s="6">
        <v>1.5111000000000001</v>
      </c>
      <c r="F451" s="6">
        <v>2.0718000000000001</v>
      </c>
      <c r="G451" s="6">
        <v>129.31</v>
      </c>
      <c r="H451" s="6">
        <v>30.856999999999999</v>
      </c>
      <c r="I451" s="6">
        <v>131.68</v>
      </c>
      <c r="J451" s="6">
        <v>172.47</v>
      </c>
      <c r="K451" s="6">
        <v>1.1600999999999999</v>
      </c>
      <c r="L451" s="6">
        <v>10.654</v>
      </c>
      <c r="M451" s="6">
        <v>2.1867999999999999E-2</v>
      </c>
      <c r="N451" s="6" t="s">
        <v>20</v>
      </c>
    </row>
    <row r="452" spans="1:14" ht="17" x14ac:dyDescent="0.35">
      <c r="A452" s="9">
        <v>120.14</v>
      </c>
      <c r="B452" s="11">
        <v>25.286999999999999</v>
      </c>
      <c r="C452" s="6">
        <v>4.5157999999999996</v>
      </c>
      <c r="D452" s="6">
        <v>0.22144</v>
      </c>
      <c r="E452" s="6">
        <v>1.5089999999999999</v>
      </c>
      <c r="F452" s="6">
        <v>2.069</v>
      </c>
      <c r="G452" s="6">
        <v>129.27000000000001</v>
      </c>
      <c r="H452" s="6">
        <v>30.895</v>
      </c>
      <c r="I452" s="6">
        <v>132.58000000000001</v>
      </c>
      <c r="J452" s="6">
        <v>172.41</v>
      </c>
      <c r="K452" s="6">
        <v>1.1581999999999999</v>
      </c>
      <c r="L452" s="6">
        <v>10.667999999999999</v>
      </c>
      <c r="M452" s="6">
        <v>2.1937999999999999E-2</v>
      </c>
      <c r="N452" s="6" t="s">
        <v>20</v>
      </c>
    </row>
    <row r="453" spans="1:14" ht="17" x14ac:dyDescent="0.35">
      <c r="A453" s="9">
        <v>120.19</v>
      </c>
      <c r="B453" s="11">
        <v>25.344000000000001</v>
      </c>
      <c r="C453" s="6">
        <v>4.5316000000000001</v>
      </c>
      <c r="D453" s="6">
        <v>0.22067000000000001</v>
      </c>
      <c r="E453" s="6">
        <v>1.5069999999999999</v>
      </c>
      <c r="F453" s="6">
        <v>2.0663</v>
      </c>
      <c r="G453" s="6">
        <v>129.24</v>
      </c>
      <c r="H453" s="6">
        <v>30.933</v>
      </c>
      <c r="I453" s="6">
        <v>133.49</v>
      </c>
      <c r="J453" s="6">
        <v>172.35</v>
      </c>
      <c r="K453" s="6">
        <v>1.1563000000000001</v>
      </c>
      <c r="L453" s="6">
        <v>10.682</v>
      </c>
      <c r="M453" s="6">
        <v>2.2008E-2</v>
      </c>
      <c r="N453" s="6" t="s">
        <v>20</v>
      </c>
    </row>
    <row r="454" spans="1:14" ht="17" x14ac:dyDescent="0.35">
      <c r="A454" s="9">
        <v>120.23</v>
      </c>
      <c r="B454" s="11">
        <v>25.4</v>
      </c>
      <c r="C454" s="6">
        <v>4.5475000000000003</v>
      </c>
      <c r="D454" s="6">
        <v>0.21990000000000001</v>
      </c>
      <c r="E454" s="6">
        <v>1.5048999999999999</v>
      </c>
      <c r="F454" s="6">
        <v>2.0634999999999999</v>
      </c>
      <c r="G454" s="6">
        <v>129.19999999999999</v>
      </c>
      <c r="H454" s="6">
        <v>30.971</v>
      </c>
      <c r="I454" s="6">
        <v>134.41</v>
      </c>
      <c r="J454" s="6">
        <v>172.29</v>
      </c>
      <c r="K454" s="6">
        <v>1.1544000000000001</v>
      </c>
      <c r="L454" s="6">
        <v>10.696</v>
      </c>
      <c r="M454" s="6">
        <v>2.2079000000000001E-2</v>
      </c>
      <c r="N454" s="6" t="s">
        <v>20</v>
      </c>
    </row>
    <row r="455" spans="1:14" ht="17" x14ac:dyDescent="0.35">
      <c r="A455" s="9">
        <v>120.28</v>
      </c>
      <c r="B455" s="11">
        <v>25.456</v>
      </c>
      <c r="C455" s="6">
        <v>4.5633999999999997</v>
      </c>
      <c r="D455" s="6">
        <v>0.21912999999999999</v>
      </c>
      <c r="E455" s="6">
        <v>1.5027999999999999</v>
      </c>
      <c r="F455" s="6">
        <v>2.0607000000000002</v>
      </c>
      <c r="G455" s="6">
        <v>129.16999999999999</v>
      </c>
      <c r="H455" s="6">
        <v>31.01</v>
      </c>
      <c r="I455" s="6">
        <v>135.34</v>
      </c>
      <c r="J455" s="6">
        <v>172.23</v>
      </c>
      <c r="K455" s="6">
        <v>1.1525000000000001</v>
      </c>
      <c r="L455" s="6">
        <v>10.71</v>
      </c>
      <c r="M455" s="6">
        <v>2.215E-2</v>
      </c>
      <c r="N455" s="6" t="s">
        <v>20</v>
      </c>
    </row>
    <row r="456" spans="1:14" ht="17" x14ac:dyDescent="0.35">
      <c r="A456" s="9">
        <v>120.32</v>
      </c>
      <c r="B456" s="11">
        <v>25.513000000000002</v>
      </c>
      <c r="C456" s="6">
        <v>4.5793999999999997</v>
      </c>
      <c r="D456" s="6">
        <v>0.21837000000000001</v>
      </c>
      <c r="E456" s="6">
        <v>1.5007999999999999</v>
      </c>
      <c r="F456" s="6">
        <v>2.0579000000000001</v>
      </c>
      <c r="G456" s="6">
        <v>129.13999999999999</v>
      </c>
      <c r="H456" s="6">
        <v>31.047999999999998</v>
      </c>
      <c r="I456" s="6">
        <v>136.29</v>
      </c>
      <c r="J456" s="6">
        <v>172.17</v>
      </c>
      <c r="K456" s="6">
        <v>1.1506000000000001</v>
      </c>
      <c r="L456" s="6">
        <v>10.724</v>
      </c>
      <c r="M456" s="6">
        <v>2.2221999999999999E-2</v>
      </c>
      <c r="N456" s="6" t="s">
        <v>20</v>
      </c>
    </row>
    <row r="457" spans="1:14" ht="17" x14ac:dyDescent="0.35">
      <c r="A457" s="9">
        <v>120.36</v>
      </c>
      <c r="B457" s="11">
        <v>25.568999999999999</v>
      </c>
      <c r="C457" s="6">
        <v>4.5955000000000004</v>
      </c>
      <c r="D457" s="6">
        <v>0.21761</v>
      </c>
      <c r="E457" s="6">
        <v>1.4986999999999999</v>
      </c>
      <c r="F457" s="6">
        <v>2.0550000000000002</v>
      </c>
      <c r="G457" s="6">
        <v>129.1</v>
      </c>
      <c r="H457" s="6">
        <v>31.087</v>
      </c>
      <c r="I457" s="6">
        <v>137.25</v>
      </c>
      <c r="J457" s="6">
        <v>172.11</v>
      </c>
      <c r="K457" s="6">
        <v>1.1487000000000001</v>
      </c>
      <c r="L457" s="6">
        <v>10.738</v>
      </c>
      <c r="M457" s="6">
        <v>2.2294000000000001E-2</v>
      </c>
      <c r="N457" s="6" t="s">
        <v>20</v>
      </c>
    </row>
    <row r="458" spans="1:14" ht="17" x14ac:dyDescent="0.35">
      <c r="A458" s="9">
        <v>120.41</v>
      </c>
      <c r="B458" s="11">
        <v>25.625</v>
      </c>
      <c r="C458" s="6">
        <v>4.6116000000000001</v>
      </c>
      <c r="D458" s="6">
        <v>0.21684999999999999</v>
      </c>
      <c r="E458" s="6">
        <v>1.4964999999999999</v>
      </c>
      <c r="F458" s="6">
        <v>2.0522</v>
      </c>
      <c r="G458" s="6">
        <v>129.07</v>
      </c>
      <c r="H458" s="6">
        <v>31.126999999999999</v>
      </c>
      <c r="I458" s="6">
        <v>138.22</v>
      </c>
      <c r="J458" s="6">
        <v>172.05</v>
      </c>
      <c r="K458" s="6">
        <v>1.1468</v>
      </c>
      <c r="L458" s="6">
        <v>10.752000000000001</v>
      </c>
      <c r="M458" s="6">
        <v>2.2367000000000001E-2</v>
      </c>
      <c r="N458" s="6" t="s">
        <v>20</v>
      </c>
    </row>
    <row r="459" spans="1:14" ht="17" x14ac:dyDescent="0.35">
      <c r="A459" s="9">
        <v>120.45</v>
      </c>
      <c r="B459" s="11">
        <v>25.681000000000001</v>
      </c>
      <c r="C459" s="6">
        <v>4.6277999999999997</v>
      </c>
      <c r="D459" s="6">
        <v>0.21609</v>
      </c>
      <c r="E459" s="6">
        <v>1.4944</v>
      </c>
      <c r="F459" s="6">
        <v>2.0493000000000001</v>
      </c>
      <c r="G459" s="6">
        <v>129.04</v>
      </c>
      <c r="H459" s="6">
        <v>31.166</v>
      </c>
      <c r="I459" s="6">
        <v>139.21</v>
      </c>
      <c r="J459" s="6">
        <v>171.98</v>
      </c>
      <c r="K459" s="6">
        <v>1.1449</v>
      </c>
      <c r="L459" s="6">
        <v>10.766999999999999</v>
      </c>
      <c r="M459" s="6">
        <v>2.2440999999999999E-2</v>
      </c>
      <c r="N459" s="6" t="s">
        <v>20</v>
      </c>
    </row>
    <row r="460" spans="1:14" ht="17" x14ac:dyDescent="0.35">
      <c r="A460" s="9">
        <v>120.5</v>
      </c>
      <c r="B460" s="11">
        <v>25.738</v>
      </c>
      <c r="C460" s="6">
        <v>4.6440000000000001</v>
      </c>
      <c r="D460" s="6">
        <v>0.21532999999999999</v>
      </c>
      <c r="E460" s="6">
        <v>1.4923</v>
      </c>
      <c r="F460" s="6">
        <v>2.0465</v>
      </c>
      <c r="G460" s="6">
        <v>129</v>
      </c>
      <c r="H460" s="6">
        <v>31.206</v>
      </c>
      <c r="I460" s="6">
        <v>140.21</v>
      </c>
      <c r="J460" s="6">
        <v>171.92</v>
      </c>
      <c r="K460" s="6">
        <v>1.143</v>
      </c>
      <c r="L460" s="6">
        <v>10.781000000000001</v>
      </c>
      <c r="M460" s="6">
        <v>2.2515E-2</v>
      </c>
      <c r="N460" s="6" t="s">
        <v>20</v>
      </c>
    </row>
    <row r="461" spans="1:14" ht="17" x14ac:dyDescent="0.35">
      <c r="A461" s="9">
        <v>120.54</v>
      </c>
      <c r="B461" s="11">
        <v>25.794</v>
      </c>
      <c r="C461" s="6">
        <v>4.6604000000000001</v>
      </c>
      <c r="D461" s="6">
        <v>0.21457999999999999</v>
      </c>
      <c r="E461" s="6">
        <v>1.4901</v>
      </c>
      <c r="F461" s="6">
        <v>2.0436000000000001</v>
      </c>
      <c r="G461" s="6">
        <v>128.97</v>
      </c>
      <c r="H461" s="6">
        <v>31.245000000000001</v>
      </c>
      <c r="I461" s="6">
        <v>141.22</v>
      </c>
      <c r="J461" s="6">
        <v>171.86</v>
      </c>
      <c r="K461" s="6">
        <v>1.1411</v>
      </c>
      <c r="L461" s="6">
        <v>10.795</v>
      </c>
      <c r="M461" s="6">
        <v>2.2589999999999999E-2</v>
      </c>
      <c r="N461" s="6" t="s">
        <v>20</v>
      </c>
    </row>
    <row r="462" spans="1:14" ht="17" x14ac:dyDescent="0.35">
      <c r="A462" s="9">
        <v>120.58</v>
      </c>
      <c r="B462" s="11">
        <v>25.85</v>
      </c>
      <c r="C462" s="6">
        <v>4.6768000000000001</v>
      </c>
      <c r="D462" s="6">
        <v>0.21382000000000001</v>
      </c>
      <c r="E462" s="6">
        <v>1.4879</v>
      </c>
      <c r="F462" s="6">
        <v>2.0407000000000002</v>
      </c>
      <c r="G462" s="6">
        <v>128.93</v>
      </c>
      <c r="H462" s="6">
        <v>31.285</v>
      </c>
      <c r="I462" s="6">
        <v>142.25</v>
      </c>
      <c r="J462" s="6">
        <v>171.79</v>
      </c>
      <c r="K462" s="6">
        <v>1.1391</v>
      </c>
      <c r="L462" s="6">
        <v>10.81</v>
      </c>
      <c r="M462" s="6">
        <v>2.2665000000000001E-2</v>
      </c>
      <c r="N462" s="6" t="s">
        <v>20</v>
      </c>
    </row>
    <row r="463" spans="1:14" ht="17" x14ac:dyDescent="0.35">
      <c r="A463" s="9">
        <v>120.63</v>
      </c>
      <c r="B463" s="11">
        <v>25.907</v>
      </c>
      <c r="C463" s="6">
        <v>4.6932</v>
      </c>
      <c r="D463" s="6">
        <v>0.21307000000000001</v>
      </c>
      <c r="E463" s="6">
        <v>1.4858</v>
      </c>
      <c r="F463" s="6">
        <v>2.0377999999999998</v>
      </c>
      <c r="G463" s="6">
        <v>128.9</v>
      </c>
      <c r="H463" s="6">
        <v>31.326000000000001</v>
      </c>
      <c r="I463" s="6">
        <v>143.29</v>
      </c>
      <c r="J463" s="6">
        <v>171.73</v>
      </c>
      <c r="K463" s="6">
        <v>1.1372</v>
      </c>
      <c r="L463" s="6">
        <v>10.824999999999999</v>
      </c>
      <c r="M463" s="6">
        <v>2.2741000000000001E-2</v>
      </c>
      <c r="N463" s="6" t="s">
        <v>20</v>
      </c>
    </row>
    <row r="464" spans="1:14" ht="17" x14ac:dyDescent="0.35">
      <c r="A464" s="9">
        <v>120.67</v>
      </c>
      <c r="B464" s="11">
        <v>25.963000000000001</v>
      </c>
      <c r="C464" s="6">
        <v>4.7098000000000004</v>
      </c>
      <c r="D464" s="6">
        <v>0.21232000000000001</v>
      </c>
      <c r="E464" s="6">
        <v>1.4836</v>
      </c>
      <c r="F464" s="6">
        <v>2.0348000000000002</v>
      </c>
      <c r="G464" s="6">
        <v>128.87</v>
      </c>
      <c r="H464" s="6">
        <v>31.366</v>
      </c>
      <c r="I464" s="6">
        <v>144.35</v>
      </c>
      <c r="J464" s="6">
        <v>171.67</v>
      </c>
      <c r="K464" s="6">
        <v>1.1352</v>
      </c>
      <c r="L464" s="6">
        <v>10.839</v>
      </c>
      <c r="M464" s="6">
        <v>2.2818000000000001E-2</v>
      </c>
      <c r="N464" s="6" t="s">
        <v>20</v>
      </c>
    </row>
    <row r="465" spans="1:14" ht="17" x14ac:dyDescent="0.35">
      <c r="A465" s="9">
        <v>120.71</v>
      </c>
      <c r="B465" s="11">
        <v>26.018999999999998</v>
      </c>
      <c r="C465" s="6">
        <v>4.7263999999999999</v>
      </c>
      <c r="D465" s="6">
        <v>0.21157999999999999</v>
      </c>
      <c r="E465" s="6">
        <v>1.4814000000000001</v>
      </c>
      <c r="F465" s="6">
        <v>2.0318999999999998</v>
      </c>
      <c r="G465" s="6">
        <v>128.83000000000001</v>
      </c>
      <c r="H465" s="6">
        <v>31.407</v>
      </c>
      <c r="I465" s="6">
        <v>145.43</v>
      </c>
      <c r="J465" s="6">
        <v>171.6</v>
      </c>
      <c r="K465" s="6">
        <v>1.1333</v>
      </c>
      <c r="L465" s="6">
        <v>10.853999999999999</v>
      </c>
      <c r="M465" s="6">
        <v>2.2894999999999999E-2</v>
      </c>
      <c r="N465" s="6" t="s">
        <v>20</v>
      </c>
    </row>
    <row r="466" spans="1:14" ht="17" x14ac:dyDescent="0.35">
      <c r="A466" s="9">
        <v>120.76</v>
      </c>
      <c r="B466" s="11">
        <v>26.076000000000001</v>
      </c>
      <c r="C466" s="6">
        <v>4.7431000000000001</v>
      </c>
      <c r="D466" s="6">
        <v>0.21082999999999999</v>
      </c>
      <c r="E466" s="6">
        <v>1.4792000000000001</v>
      </c>
      <c r="F466" s="6">
        <v>2.0289000000000001</v>
      </c>
      <c r="G466" s="6">
        <v>128.80000000000001</v>
      </c>
      <c r="H466" s="6">
        <v>31.448</v>
      </c>
      <c r="I466" s="6">
        <v>146.52000000000001</v>
      </c>
      <c r="J466" s="6">
        <v>171.54</v>
      </c>
      <c r="K466" s="6">
        <v>1.1313</v>
      </c>
      <c r="L466" s="6">
        <v>10.869</v>
      </c>
      <c r="M466" s="6">
        <v>2.2973E-2</v>
      </c>
      <c r="N466" s="6" t="s">
        <v>20</v>
      </c>
    </row>
    <row r="467" spans="1:14" ht="17" x14ac:dyDescent="0.35">
      <c r="A467" s="9">
        <v>120.8</v>
      </c>
      <c r="B467" s="11">
        <v>26.132000000000001</v>
      </c>
      <c r="C467" s="6">
        <v>4.7598000000000003</v>
      </c>
      <c r="D467" s="6">
        <v>0.21009</v>
      </c>
      <c r="E467" s="6">
        <v>1.4769000000000001</v>
      </c>
      <c r="F467" s="6">
        <v>2.0259</v>
      </c>
      <c r="G467" s="6">
        <v>128.76</v>
      </c>
      <c r="H467" s="6">
        <v>31.489000000000001</v>
      </c>
      <c r="I467" s="6">
        <v>147.63</v>
      </c>
      <c r="J467" s="6">
        <v>171.47</v>
      </c>
      <c r="K467" s="6">
        <v>1.1294</v>
      </c>
      <c r="L467" s="6">
        <v>10.884</v>
      </c>
      <c r="M467" s="6">
        <v>2.3052E-2</v>
      </c>
      <c r="N467" s="6" t="s">
        <v>20</v>
      </c>
    </row>
    <row r="468" spans="1:14" ht="17" x14ac:dyDescent="0.35">
      <c r="A468" s="9">
        <v>120.84</v>
      </c>
      <c r="B468" s="11">
        <v>26.187999999999999</v>
      </c>
      <c r="C468" s="6">
        <v>4.7766999999999999</v>
      </c>
      <c r="D468" s="6">
        <v>0.20935000000000001</v>
      </c>
      <c r="E468" s="6">
        <v>1.4746999999999999</v>
      </c>
      <c r="F468" s="6">
        <v>2.0228999999999999</v>
      </c>
      <c r="G468" s="6">
        <v>128.72999999999999</v>
      </c>
      <c r="H468" s="6">
        <v>31.530999999999999</v>
      </c>
      <c r="I468" s="6">
        <v>148.75</v>
      </c>
      <c r="J468" s="6">
        <v>171.41</v>
      </c>
      <c r="K468" s="6">
        <v>1.1274</v>
      </c>
      <c r="L468" s="6">
        <v>10.898</v>
      </c>
      <c r="M468" s="6">
        <v>2.3132E-2</v>
      </c>
      <c r="N468" s="6" t="s">
        <v>20</v>
      </c>
    </row>
    <row r="469" spans="1:14" ht="17" x14ac:dyDescent="0.35">
      <c r="A469" s="9">
        <v>120.89</v>
      </c>
      <c r="B469" s="11">
        <v>26.244</v>
      </c>
      <c r="C469" s="6">
        <v>4.7935999999999996</v>
      </c>
      <c r="D469" s="6">
        <v>0.20860999999999999</v>
      </c>
      <c r="E469" s="6">
        <v>1.4723999999999999</v>
      </c>
      <c r="F469" s="6">
        <v>2.0198999999999998</v>
      </c>
      <c r="G469" s="6">
        <v>128.69</v>
      </c>
      <c r="H469" s="6">
        <v>31.573</v>
      </c>
      <c r="I469" s="6">
        <v>149.88999999999999</v>
      </c>
      <c r="J469" s="6">
        <v>171.34</v>
      </c>
      <c r="K469" s="6">
        <v>1.1254</v>
      </c>
      <c r="L469" s="6">
        <v>10.913</v>
      </c>
      <c r="M469" s="6">
        <v>2.3212E-2</v>
      </c>
      <c r="N469" s="6" t="s">
        <v>20</v>
      </c>
    </row>
    <row r="470" spans="1:14" ht="17" x14ac:dyDescent="0.35">
      <c r="A470" s="9">
        <v>120.93</v>
      </c>
      <c r="B470" s="11">
        <v>26.300999999999998</v>
      </c>
      <c r="C470" s="6">
        <v>4.8105000000000002</v>
      </c>
      <c r="D470" s="6">
        <v>0.20788000000000001</v>
      </c>
      <c r="E470" s="6">
        <v>1.4701</v>
      </c>
      <c r="F470" s="6">
        <v>2.0169000000000001</v>
      </c>
      <c r="G470" s="6">
        <v>128.66</v>
      </c>
      <c r="H470" s="6">
        <v>31.614999999999998</v>
      </c>
      <c r="I470" s="6">
        <v>151.05000000000001</v>
      </c>
      <c r="J470" s="6">
        <v>171.28</v>
      </c>
      <c r="K470" s="6">
        <v>1.1234999999999999</v>
      </c>
      <c r="L470" s="6">
        <v>10.929</v>
      </c>
      <c r="M470" s="6">
        <v>2.3292E-2</v>
      </c>
      <c r="N470" s="6" t="s">
        <v>20</v>
      </c>
    </row>
    <row r="471" spans="1:14" ht="17" x14ac:dyDescent="0.35">
      <c r="A471" s="9">
        <v>120.97</v>
      </c>
      <c r="B471" s="11">
        <v>26.356999999999999</v>
      </c>
      <c r="C471" s="6">
        <v>4.8276000000000003</v>
      </c>
      <c r="D471" s="6">
        <v>0.20713999999999999</v>
      </c>
      <c r="E471" s="6">
        <v>1.4678</v>
      </c>
      <c r="F471" s="6">
        <v>2.0137999999999998</v>
      </c>
      <c r="G471" s="6">
        <v>128.62</v>
      </c>
      <c r="H471" s="6">
        <v>31.657</v>
      </c>
      <c r="I471" s="6">
        <v>152.22</v>
      </c>
      <c r="J471" s="6">
        <v>171.21</v>
      </c>
      <c r="K471" s="6">
        <v>1.1214999999999999</v>
      </c>
      <c r="L471" s="6">
        <v>10.944000000000001</v>
      </c>
      <c r="M471" s="6">
        <v>2.3373999999999999E-2</v>
      </c>
      <c r="N471" s="6" t="s">
        <v>20</v>
      </c>
    </row>
    <row r="472" spans="1:14" ht="17" x14ac:dyDescent="0.35">
      <c r="A472" s="9">
        <v>121.02</v>
      </c>
      <c r="B472" s="11">
        <v>26.413</v>
      </c>
      <c r="C472" s="6">
        <v>4.8448000000000002</v>
      </c>
      <c r="D472" s="6">
        <v>0.20641000000000001</v>
      </c>
      <c r="E472" s="6">
        <v>1.4655</v>
      </c>
      <c r="F472" s="6">
        <v>2.0106999999999999</v>
      </c>
      <c r="G472" s="6">
        <v>128.59</v>
      </c>
      <c r="H472" s="6">
        <v>31.7</v>
      </c>
      <c r="I472" s="6">
        <v>153.41999999999999</v>
      </c>
      <c r="J472" s="6">
        <v>171.15</v>
      </c>
      <c r="K472" s="6">
        <v>1.1194999999999999</v>
      </c>
      <c r="L472" s="6">
        <v>10.959</v>
      </c>
      <c r="M472" s="6">
        <v>2.3456000000000001E-2</v>
      </c>
      <c r="N472" s="6" t="s">
        <v>20</v>
      </c>
    </row>
    <row r="473" spans="1:14" ht="17" x14ac:dyDescent="0.35">
      <c r="A473" s="9">
        <v>121.06</v>
      </c>
      <c r="B473" s="11">
        <v>26.47</v>
      </c>
      <c r="C473" s="6">
        <v>4.8620000000000001</v>
      </c>
      <c r="D473" s="6">
        <v>0.20568</v>
      </c>
      <c r="E473" s="6">
        <v>1.4632000000000001</v>
      </c>
      <c r="F473" s="6">
        <v>2.0076999999999998</v>
      </c>
      <c r="G473" s="6">
        <v>128.55000000000001</v>
      </c>
      <c r="H473" s="6">
        <v>31.742999999999999</v>
      </c>
      <c r="I473" s="6">
        <v>154.63</v>
      </c>
      <c r="J473" s="6">
        <v>171.08</v>
      </c>
      <c r="K473" s="6">
        <v>1.1174999999999999</v>
      </c>
      <c r="L473" s="6">
        <v>10.974</v>
      </c>
      <c r="M473" s="6">
        <v>2.3539000000000001E-2</v>
      </c>
      <c r="N473" s="6" t="s">
        <v>20</v>
      </c>
    </row>
    <row r="474" spans="1:14" ht="17" x14ac:dyDescent="0.35">
      <c r="A474" s="9">
        <v>121.1</v>
      </c>
      <c r="B474" s="11">
        <v>26.526</v>
      </c>
      <c r="C474" s="6">
        <v>4.8792999999999997</v>
      </c>
      <c r="D474" s="6">
        <v>0.20494999999999999</v>
      </c>
      <c r="E474" s="6">
        <v>1.4609000000000001</v>
      </c>
      <c r="F474" s="6">
        <v>2.0045000000000002</v>
      </c>
      <c r="G474" s="6">
        <v>128.52000000000001</v>
      </c>
      <c r="H474" s="6">
        <v>31.786000000000001</v>
      </c>
      <c r="I474" s="6">
        <v>155.86000000000001</v>
      </c>
      <c r="J474" s="6">
        <v>171.01</v>
      </c>
      <c r="K474" s="6">
        <v>1.1154999999999999</v>
      </c>
      <c r="L474" s="6">
        <v>10.99</v>
      </c>
      <c r="M474" s="6">
        <v>2.3623000000000002E-2</v>
      </c>
      <c r="N474" s="6" t="s">
        <v>20</v>
      </c>
    </row>
    <row r="475" spans="1:14" ht="17" x14ac:dyDescent="0.35">
      <c r="A475" s="9">
        <v>121.15</v>
      </c>
      <c r="B475" s="11">
        <v>26.582000000000001</v>
      </c>
      <c r="C475" s="6">
        <v>4.8967000000000001</v>
      </c>
      <c r="D475" s="6">
        <v>0.20422000000000001</v>
      </c>
      <c r="E475" s="6">
        <v>1.4585999999999999</v>
      </c>
      <c r="F475" s="6">
        <v>2.0013999999999998</v>
      </c>
      <c r="G475" s="6">
        <v>128.47999999999999</v>
      </c>
      <c r="H475" s="6">
        <v>31.829000000000001</v>
      </c>
      <c r="I475" s="6">
        <v>157.11000000000001</v>
      </c>
      <c r="J475" s="6">
        <v>170.95</v>
      </c>
      <c r="K475" s="6">
        <v>1.1134999999999999</v>
      </c>
      <c r="L475" s="6">
        <v>11.005000000000001</v>
      </c>
      <c r="M475" s="6">
        <v>2.3706999999999999E-2</v>
      </c>
      <c r="N475" s="6" t="s">
        <v>20</v>
      </c>
    </row>
    <row r="476" spans="1:14" ht="17" x14ac:dyDescent="0.35">
      <c r="A476" s="9">
        <v>121.19</v>
      </c>
      <c r="B476" s="11">
        <v>26.638000000000002</v>
      </c>
      <c r="C476" s="6">
        <v>4.9141000000000004</v>
      </c>
      <c r="D476" s="6">
        <v>0.20349999999999999</v>
      </c>
      <c r="E476" s="6">
        <v>1.4561999999999999</v>
      </c>
      <c r="F476" s="6">
        <v>1.9983</v>
      </c>
      <c r="G476" s="6">
        <v>128.44999999999999</v>
      </c>
      <c r="H476" s="6">
        <v>31.873000000000001</v>
      </c>
      <c r="I476" s="6">
        <v>158.38</v>
      </c>
      <c r="J476" s="6">
        <v>170.88</v>
      </c>
      <c r="K476" s="6">
        <v>1.1114999999999999</v>
      </c>
      <c r="L476" s="6">
        <v>11.021000000000001</v>
      </c>
      <c r="M476" s="6">
        <v>2.3792000000000001E-2</v>
      </c>
      <c r="N476" s="6" t="s">
        <v>20</v>
      </c>
    </row>
    <row r="477" spans="1:14" ht="17" x14ac:dyDescent="0.35">
      <c r="A477" s="9">
        <v>121.23</v>
      </c>
      <c r="B477" s="11">
        <v>26.695</v>
      </c>
      <c r="C477" s="6">
        <v>4.9317000000000002</v>
      </c>
      <c r="D477" s="6">
        <v>0.20277000000000001</v>
      </c>
      <c r="E477" s="6">
        <v>1.4538</v>
      </c>
      <c r="F477" s="6">
        <v>1.9951000000000001</v>
      </c>
      <c r="G477" s="6">
        <v>128.41</v>
      </c>
      <c r="H477" s="6">
        <v>31.917000000000002</v>
      </c>
      <c r="I477" s="6">
        <v>159.66999999999999</v>
      </c>
      <c r="J477" s="6">
        <v>170.81</v>
      </c>
      <c r="K477" s="6">
        <v>1.1094999999999999</v>
      </c>
      <c r="L477" s="6">
        <v>11.036</v>
      </c>
      <c r="M477" s="6">
        <v>2.3878E-2</v>
      </c>
      <c r="N477" s="6" t="s">
        <v>20</v>
      </c>
    </row>
    <row r="478" spans="1:14" ht="17" x14ac:dyDescent="0.35">
      <c r="A478" s="9">
        <v>121.27</v>
      </c>
      <c r="B478" s="11">
        <v>26.751000000000001</v>
      </c>
      <c r="C478" s="6">
        <v>4.9493</v>
      </c>
      <c r="D478" s="6">
        <v>0.20205000000000001</v>
      </c>
      <c r="E478" s="6">
        <v>1.4514</v>
      </c>
      <c r="F478" s="6">
        <v>1.9919</v>
      </c>
      <c r="G478" s="6">
        <v>128.38</v>
      </c>
      <c r="H478" s="6">
        <v>31.962</v>
      </c>
      <c r="I478" s="6">
        <v>160.97999999999999</v>
      </c>
      <c r="J478" s="6">
        <v>170.74</v>
      </c>
      <c r="K478" s="6">
        <v>1.1073999999999999</v>
      </c>
      <c r="L478" s="6">
        <v>11.052</v>
      </c>
      <c r="M478" s="6">
        <v>2.3965E-2</v>
      </c>
      <c r="N478" s="6" t="s">
        <v>20</v>
      </c>
    </row>
    <row r="479" spans="1:14" ht="17" x14ac:dyDescent="0.35">
      <c r="A479" s="9">
        <v>121.32</v>
      </c>
      <c r="B479" s="11">
        <v>26.806999999999999</v>
      </c>
      <c r="C479" s="6">
        <v>4.9669999999999996</v>
      </c>
      <c r="D479" s="6">
        <v>0.20133000000000001</v>
      </c>
      <c r="E479" s="6">
        <v>1.4490000000000001</v>
      </c>
      <c r="F479" s="6">
        <v>1.9886999999999999</v>
      </c>
      <c r="G479" s="6">
        <v>128.34</v>
      </c>
      <c r="H479" s="6">
        <v>32.006</v>
      </c>
      <c r="I479" s="6">
        <v>162.32</v>
      </c>
      <c r="J479" s="6">
        <v>170.67</v>
      </c>
      <c r="K479" s="6">
        <v>1.1053999999999999</v>
      </c>
      <c r="L479" s="6">
        <v>11.068</v>
      </c>
      <c r="M479" s="6">
        <v>2.4053000000000001E-2</v>
      </c>
      <c r="N479" s="6" t="s">
        <v>20</v>
      </c>
    </row>
    <row r="480" spans="1:14" ht="17" x14ac:dyDescent="0.35">
      <c r="A480" s="9">
        <v>121.36</v>
      </c>
      <c r="B480" s="11">
        <v>26.864000000000001</v>
      </c>
      <c r="C480" s="6">
        <v>4.9847999999999999</v>
      </c>
      <c r="D480" s="6">
        <v>0.20061000000000001</v>
      </c>
      <c r="E480" s="6">
        <v>1.4466000000000001</v>
      </c>
      <c r="F480" s="6">
        <v>1.9855</v>
      </c>
      <c r="G480" s="6">
        <v>128.30000000000001</v>
      </c>
      <c r="H480" s="6">
        <v>32.051000000000002</v>
      </c>
      <c r="I480" s="6">
        <v>163.66999999999999</v>
      </c>
      <c r="J480" s="6">
        <v>170.61</v>
      </c>
      <c r="K480" s="6">
        <v>1.1033999999999999</v>
      </c>
      <c r="L480" s="6">
        <v>11.084</v>
      </c>
      <c r="M480" s="6">
        <v>2.4140999999999999E-2</v>
      </c>
      <c r="N480" s="6" t="s">
        <v>20</v>
      </c>
    </row>
    <row r="481" spans="1:14" ht="17" x14ac:dyDescent="0.35">
      <c r="A481" s="9">
        <v>121.4</v>
      </c>
      <c r="B481" s="11">
        <v>26.92</v>
      </c>
      <c r="C481" s="6">
        <v>5.0026999999999999</v>
      </c>
      <c r="D481" s="6">
        <v>0.19989000000000001</v>
      </c>
      <c r="E481" s="6">
        <v>1.4441999999999999</v>
      </c>
      <c r="F481" s="6">
        <v>1.9823</v>
      </c>
      <c r="G481" s="6">
        <v>128.27000000000001</v>
      </c>
      <c r="H481" s="6">
        <v>32.095999999999997</v>
      </c>
      <c r="I481" s="6">
        <v>165.05</v>
      </c>
      <c r="J481" s="6">
        <v>170.54</v>
      </c>
      <c r="K481" s="6">
        <v>1.1012999999999999</v>
      </c>
      <c r="L481" s="6">
        <v>11.1</v>
      </c>
      <c r="M481" s="6">
        <v>2.4230999999999999E-2</v>
      </c>
      <c r="N481" s="6" t="s">
        <v>20</v>
      </c>
    </row>
    <row r="482" spans="1:14" ht="17" x14ac:dyDescent="0.35">
      <c r="A482" s="9">
        <v>121.44</v>
      </c>
      <c r="B482" s="11">
        <v>26.975999999999999</v>
      </c>
      <c r="C482" s="6">
        <v>5.0206999999999997</v>
      </c>
      <c r="D482" s="6">
        <v>0.19918</v>
      </c>
      <c r="E482" s="6">
        <v>1.4417</v>
      </c>
      <c r="F482" s="6">
        <v>1.9790000000000001</v>
      </c>
      <c r="G482" s="6">
        <v>128.22999999999999</v>
      </c>
      <c r="H482" s="6">
        <v>32.142000000000003</v>
      </c>
      <c r="I482" s="6">
        <v>166.45</v>
      </c>
      <c r="J482" s="6">
        <v>170.47</v>
      </c>
      <c r="K482" s="6">
        <v>1.0992999999999999</v>
      </c>
      <c r="L482" s="6">
        <v>11.116</v>
      </c>
      <c r="M482" s="6">
        <v>2.4320999999999999E-2</v>
      </c>
      <c r="N482" s="6" t="s">
        <v>20</v>
      </c>
    </row>
    <row r="483" spans="1:14" ht="17" x14ac:dyDescent="0.35">
      <c r="A483" s="9">
        <v>121.48</v>
      </c>
      <c r="B483" s="11">
        <v>27.032</v>
      </c>
      <c r="C483" s="6">
        <v>5.0387000000000004</v>
      </c>
      <c r="D483" s="6">
        <v>0.19846</v>
      </c>
      <c r="E483" s="6">
        <v>1.4392</v>
      </c>
      <c r="F483" s="6">
        <v>1.9757</v>
      </c>
      <c r="G483" s="6">
        <v>128.19999999999999</v>
      </c>
      <c r="H483" s="6">
        <v>32.188000000000002</v>
      </c>
      <c r="I483" s="6">
        <v>167.87</v>
      </c>
      <c r="J483" s="6">
        <v>170.4</v>
      </c>
      <c r="K483" s="6">
        <v>1.0972</v>
      </c>
      <c r="L483" s="6">
        <v>11.132</v>
      </c>
      <c r="M483" s="6">
        <v>2.4412E-2</v>
      </c>
      <c r="N483" s="6" t="s">
        <v>20</v>
      </c>
    </row>
    <row r="484" spans="1:14" ht="17" x14ac:dyDescent="0.35">
      <c r="A484" s="9">
        <v>121.53</v>
      </c>
      <c r="B484" s="11">
        <v>27.088999999999999</v>
      </c>
      <c r="C484" s="6">
        <v>5.0568999999999997</v>
      </c>
      <c r="D484" s="6">
        <v>0.19775000000000001</v>
      </c>
      <c r="E484" s="6">
        <v>1.4367000000000001</v>
      </c>
      <c r="F484" s="6">
        <v>1.9723999999999999</v>
      </c>
      <c r="G484" s="6">
        <v>128.16</v>
      </c>
      <c r="H484" s="6">
        <v>32.234000000000002</v>
      </c>
      <c r="I484" s="6">
        <v>169.32</v>
      </c>
      <c r="J484" s="6">
        <v>170.33</v>
      </c>
      <c r="K484" s="6">
        <v>1.0951</v>
      </c>
      <c r="L484" s="6">
        <v>11.148</v>
      </c>
      <c r="M484" s="6">
        <v>2.4504000000000001E-2</v>
      </c>
      <c r="N484" s="6" t="s">
        <v>20</v>
      </c>
    </row>
    <row r="485" spans="1:14" ht="17" x14ac:dyDescent="0.35">
      <c r="A485" s="9">
        <v>121.57</v>
      </c>
      <c r="B485" s="11">
        <v>27.145</v>
      </c>
      <c r="C485" s="6">
        <v>5.0751999999999997</v>
      </c>
      <c r="D485" s="6">
        <v>0.19703999999999999</v>
      </c>
      <c r="E485" s="6">
        <v>1.4341999999999999</v>
      </c>
      <c r="F485" s="6">
        <v>1.9691000000000001</v>
      </c>
      <c r="G485" s="6">
        <v>128.12</v>
      </c>
      <c r="H485" s="6">
        <v>32.280999999999999</v>
      </c>
      <c r="I485" s="6">
        <v>170.79</v>
      </c>
      <c r="J485" s="6">
        <v>170.25</v>
      </c>
      <c r="K485" s="6">
        <v>1.0931</v>
      </c>
      <c r="L485" s="6">
        <v>11.164999999999999</v>
      </c>
      <c r="M485" s="6">
        <v>2.4597000000000001E-2</v>
      </c>
      <c r="N485" s="6" t="s">
        <v>20</v>
      </c>
    </row>
    <row r="486" spans="1:14" ht="17" x14ac:dyDescent="0.35">
      <c r="A486" s="9">
        <v>121.61</v>
      </c>
      <c r="B486" s="11">
        <v>27.201000000000001</v>
      </c>
      <c r="C486" s="6">
        <v>5.0934999999999997</v>
      </c>
      <c r="D486" s="6">
        <v>0.19633</v>
      </c>
      <c r="E486" s="6">
        <v>1.4317</v>
      </c>
      <c r="F486" s="6">
        <v>1.9658</v>
      </c>
      <c r="G486" s="6">
        <v>128.09</v>
      </c>
      <c r="H486" s="6">
        <v>32.328000000000003</v>
      </c>
      <c r="I486" s="6">
        <v>172.29</v>
      </c>
      <c r="J486" s="6">
        <v>170.18</v>
      </c>
      <c r="K486" s="6">
        <v>1.091</v>
      </c>
      <c r="L486" s="6">
        <v>11.180999999999999</v>
      </c>
      <c r="M486" s="6">
        <v>2.4691000000000001E-2</v>
      </c>
      <c r="N486" s="6" t="s">
        <v>20</v>
      </c>
    </row>
    <row r="487" spans="1:14" ht="17" x14ac:dyDescent="0.35">
      <c r="A487" s="9">
        <v>121.65</v>
      </c>
      <c r="B487" s="11">
        <v>27.257999999999999</v>
      </c>
      <c r="C487" s="6">
        <v>5.1120000000000001</v>
      </c>
      <c r="D487" s="6">
        <v>0.19561999999999999</v>
      </c>
      <c r="E487" s="6">
        <v>1.4292</v>
      </c>
      <c r="F487" s="6">
        <v>1.9623999999999999</v>
      </c>
      <c r="G487" s="6">
        <v>128.05000000000001</v>
      </c>
      <c r="H487" s="6">
        <v>32.375</v>
      </c>
      <c r="I487" s="6">
        <v>173.82</v>
      </c>
      <c r="J487" s="6">
        <v>170.11</v>
      </c>
      <c r="K487" s="6">
        <v>1.0889</v>
      </c>
      <c r="L487" s="6">
        <v>11.198</v>
      </c>
      <c r="M487" s="6">
        <v>2.4785999999999999E-2</v>
      </c>
      <c r="N487" s="6" t="s">
        <v>20</v>
      </c>
    </row>
    <row r="488" spans="1:14" ht="17" x14ac:dyDescent="0.35">
      <c r="A488" s="9">
        <v>121.69</v>
      </c>
      <c r="B488" s="11">
        <v>27.314</v>
      </c>
      <c r="C488" s="6">
        <v>5.1304999999999996</v>
      </c>
      <c r="D488" s="6">
        <v>0.19491</v>
      </c>
      <c r="E488" s="6">
        <v>1.4266000000000001</v>
      </c>
      <c r="F488" s="6">
        <v>1.9590000000000001</v>
      </c>
      <c r="G488" s="6">
        <v>128.01</v>
      </c>
      <c r="H488" s="6">
        <v>32.423000000000002</v>
      </c>
      <c r="I488" s="6">
        <v>175.37</v>
      </c>
      <c r="J488" s="6">
        <v>170.04</v>
      </c>
      <c r="K488" s="6">
        <v>1.0868</v>
      </c>
      <c r="L488" s="6">
        <v>11.215</v>
      </c>
      <c r="M488" s="6">
        <v>2.4882000000000001E-2</v>
      </c>
      <c r="N488" s="6" t="s">
        <v>20</v>
      </c>
    </row>
    <row r="489" spans="1:14" ht="17" x14ac:dyDescent="0.35">
      <c r="A489" s="9">
        <v>121.74</v>
      </c>
      <c r="B489" s="11">
        <v>27.37</v>
      </c>
      <c r="C489" s="6">
        <v>5.1490999999999998</v>
      </c>
      <c r="D489" s="6">
        <v>0.19420999999999999</v>
      </c>
      <c r="E489" s="6">
        <v>1.4240999999999999</v>
      </c>
      <c r="F489" s="6">
        <v>1.9556</v>
      </c>
      <c r="G489" s="6">
        <v>127.98</v>
      </c>
      <c r="H489" s="6">
        <v>32.470999999999997</v>
      </c>
      <c r="I489" s="6">
        <v>176.94</v>
      </c>
      <c r="J489" s="6">
        <v>169.97</v>
      </c>
      <c r="K489" s="6">
        <v>1.0847</v>
      </c>
      <c r="L489" s="6">
        <v>11.231</v>
      </c>
      <c r="M489" s="6">
        <v>2.4978E-2</v>
      </c>
      <c r="N489" s="6" t="s">
        <v>20</v>
      </c>
    </row>
    <row r="490" spans="1:14" ht="17" x14ac:dyDescent="0.35">
      <c r="A490" s="9">
        <v>121.78</v>
      </c>
      <c r="B490" s="11">
        <v>27.425999999999998</v>
      </c>
      <c r="C490" s="6">
        <v>5.1679000000000004</v>
      </c>
      <c r="D490" s="6">
        <v>0.19350000000000001</v>
      </c>
      <c r="E490" s="6">
        <v>1.4215</v>
      </c>
      <c r="F490" s="6">
        <v>1.9521999999999999</v>
      </c>
      <c r="G490" s="6">
        <v>127.94</v>
      </c>
      <c r="H490" s="6">
        <v>32.518999999999998</v>
      </c>
      <c r="I490" s="6">
        <v>178.55</v>
      </c>
      <c r="J490" s="6">
        <v>169.89</v>
      </c>
      <c r="K490" s="6">
        <v>1.0826</v>
      </c>
      <c r="L490" s="6">
        <v>11.247999999999999</v>
      </c>
      <c r="M490" s="6">
        <v>2.5076000000000001E-2</v>
      </c>
      <c r="N490" s="6" t="s">
        <v>20</v>
      </c>
    </row>
    <row r="491" spans="1:14" ht="17" x14ac:dyDescent="0.35">
      <c r="A491" s="9">
        <v>121.82</v>
      </c>
      <c r="B491" s="11">
        <v>27.483000000000001</v>
      </c>
      <c r="C491" s="6">
        <v>5.1867000000000001</v>
      </c>
      <c r="D491" s="6">
        <v>0.1928</v>
      </c>
      <c r="E491" s="6">
        <v>1.4189000000000001</v>
      </c>
      <c r="F491" s="6">
        <v>1.9487000000000001</v>
      </c>
      <c r="G491" s="6">
        <v>127.9</v>
      </c>
      <c r="H491" s="6">
        <v>32.567999999999998</v>
      </c>
      <c r="I491" s="6">
        <v>180.19</v>
      </c>
      <c r="J491" s="6">
        <v>169.82</v>
      </c>
      <c r="K491" s="6">
        <v>1.0804</v>
      </c>
      <c r="L491" s="6">
        <v>11.265000000000001</v>
      </c>
      <c r="M491" s="6">
        <v>2.5174999999999999E-2</v>
      </c>
      <c r="N491" s="6" t="s">
        <v>20</v>
      </c>
    </row>
    <row r="492" spans="1:14" ht="17" x14ac:dyDescent="0.35">
      <c r="A492" s="9">
        <v>121.86</v>
      </c>
      <c r="B492" s="11">
        <v>27.539000000000001</v>
      </c>
      <c r="C492" s="6">
        <v>5.2055999999999996</v>
      </c>
      <c r="D492" s="6">
        <v>0.19209999999999999</v>
      </c>
      <c r="E492" s="6">
        <v>1.4161999999999999</v>
      </c>
      <c r="F492" s="6">
        <v>1.9453</v>
      </c>
      <c r="G492" s="6">
        <v>127.87</v>
      </c>
      <c r="H492" s="6">
        <v>32.616999999999997</v>
      </c>
      <c r="I492" s="6">
        <v>181.85</v>
      </c>
      <c r="J492" s="6">
        <v>169.75</v>
      </c>
      <c r="K492" s="6">
        <v>1.0783</v>
      </c>
      <c r="L492" s="6">
        <v>11.282</v>
      </c>
      <c r="M492" s="6">
        <v>2.5274999999999999E-2</v>
      </c>
      <c r="N492" s="6" t="s">
        <v>20</v>
      </c>
    </row>
    <row r="493" spans="1:14" ht="17" x14ac:dyDescent="0.35">
      <c r="A493" s="9">
        <v>121.9</v>
      </c>
      <c r="B493" s="11">
        <v>27.594999999999999</v>
      </c>
      <c r="C493" s="6">
        <v>5.2247000000000003</v>
      </c>
      <c r="D493" s="6">
        <v>0.19139999999999999</v>
      </c>
      <c r="E493" s="6">
        <v>1.4136</v>
      </c>
      <c r="F493" s="6">
        <v>1.9418</v>
      </c>
      <c r="G493" s="6">
        <v>127.83</v>
      </c>
      <c r="H493" s="6">
        <v>32.665999999999997</v>
      </c>
      <c r="I493" s="6">
        <v>183.55</v>
      </c>
      <c r="J493" s="6">
        <v>169.67</v>
      </c>
      <c r="K493" s="6">
        <v>1.0762</v>
      </c>
      <c r="L493" s="6">
        <v>11.298999999999999</v>
      </c>
      <c r="M493" s="6">
        <v>2.5375999999999999E-2</v>
      </c>
      <c r="N493" s="6" t="s">
        <v>20</v>
      </c>
    </row>
    <row r="494" spans="1:14" ht="17" x14ac:dyDescent="0.35">
      <c r="A494" s="9">
        <v>121.94</v>
      </c>
      <c r="B494" s="11">
        <v>27.652000000000001</v>
      </c>
      <c r="C494" s="6">
        <v>5.2438000000000002</v>
      </c>
      <c r="D494" s="6">
        <v>0.19070000000000001</v>
      </c>
      <c r="E494" s="6">
        <v>1.4109</v>
      </c>
      <c r="F494" s="6">
        <v>1.9382999999999999</v>
      </c>
      <c r="G494" s="6">
        <v>127.79</v>
      </c>
      <c r="H494" s="6">
        <v>32.716000000000001</v>
      </c>
      <c r="I494" s="6">
        <v>185.27</v>
      </c>
      <c r="J494" s="6">
        <v>169.6</v>
      </c>
      <c r="K494" s="6">
        <v>1.0740000000000001</v>
      </c>
      <c r="L494" s="6">
        <v>11.317</v>
      </c>
      <c r="M494" s="6">
        <v>2.5478000000000001E-2</v>
      </c>
      <c r="N494" s="6" t="s">
        <v>20</v>
      </c>
    </row>
    <row r="495" spans="1:14" ht="17" x14ac:dyDescent="0.35">
      <c r="A495" s="9">
        <v>121.99</v>
      </c>
      <c r="B495" s="11">
        <v>27.707999999999998</v>
      </c>
      <c r="C495" s="6">
        <v>5.2630999999999997</v>
      </c>
      <c r="D495" s="6">
        <v>0.19</v>
      </c>
      <c r="E495" s="6">
        <v>1.4083000000000001</v>
      </c>
      <c r="F495" s="6">
        <v>1.9347000000000001</v>
      </c>
      <c r="G495" s="6">
        <v>127.75</v>
      </c>
      <c r="H495" s="6">
        <v>32.767000000000003</v>
      </c>
      <c r="I495" s="6">
        <v>187.03</v>
      </c>
      <c r="J495" s="6">
        <v>169.52</v>
      </c>
      <c r="K495" s="6">
        <v>1.0719000000000001</v>
      </c>
      <c r="L495" s="6">
        <v>11.334</v>
      </c>
      <c r="M495" s="6">
        <v>2.5581E-2</v>
      </c>
      <c r="N495" s="6" t="s">
        <v>20</v>
      </c>
    </row>
    <row r="496" spans="1:14" ht="17" x14ac:dyDescent="0.35">
      <c r="A496" s="9">
        <v>122.03</v>
      </c>
      <c r="B496" s="11">
        <v>27.763999999999999</v>
      </c>
      <c r="C496" s="6">
        <v>5.2824</v>
      </c>
      <c r="D496" s="6">
        <v>0.18931000000000001</v>
      </c>
      <c r="E496" s="6">
        <v>1.4056</v>
      </c>
      <c r="F496" s="6">
        <v>1.9312</v>
      </c>
      <c r="G496" s="6">
        <v>127.71</v>
      </c>
      <c r="H496" s="6">
        <v>32.817</v>
      </c>
      <c r="I496" s="6">
        <v>188.83</v>
      </c>
      <c r="J496" s="6">
        <v>169.44</v>
      </c>
      <c r="K496" s="6">
        <v>1.0697000000000001</v>
      </c>
      <c r="L496" s="6">
        <v>11.352</v>
      </c>
      <c r="M496" s="6">
        <v>2.5684999999999999E-2</v>
      </c>
      <c r="N496" s="6" t="s">
        <v>20</v>
      </c>
    </row>
    <row r="497" spans="1:14" ht="17" x14ac:dyDescent="0.35">
      <c r="A497" s="9">
        <v>122.07</v>
      </c>
      <c r="B497" s="11">
        <v>27.821000000000002</v>
      </c>
      <c r="C497" s="6">
        <v>5.3018999999999998</v>
      </c>
      <c r="D497" s="6">
        <v>0.18861</v>
      </c>
      <c r="E497" s="6">
        <v>1.4028</v>
      </c>
      <c r="F497" s="6">
        <v>1.9276</v>
      </c>
      <c r="G497" s="6">
        <v>127.68</v>
      </c>
      <c r="H497" s="6">
        <v>32.868000000000002</v>
      </c>
      <c r="I497" s="6">
        <v>190.65</v>
      </c>
      <c r="J497" s="6">
        <v>169.37</v>
      </c>
      <c r="K497" s="6">
        <v>1.0674999999999999</v>
      </c>
      <c r="L497" s="6">
        <v>11.369</v>
      </c>
      <c r="M497" s="6">
        <v>2.579E-2</v>
      </c>
      <c r="N497" s="6" t="s">
        <v>20</v>
      </c>
    </row>
    <row r="498" spans="1:14" ht="17" x14ac:dyDescent="0.35">
      <c r="A498" s="9">
        <v>122.11</v>
      </c>
      <c r="B498" s="11">
        <v>27.876999999999999</v>
      </c>
      <c r="C498" s="6">
        <v>5.3215000000000003</v>
      </c>
      <c r="D498" s="6">
        <v>0.18792</v>
      </c>
      <c r="E498" s="6">
        <v>1.4000999999999999</v>
      </c>
      <c r="F498" s="6">
        <v>1.9239999999999999</v>
      </c>
      <c r="G498" s="6">
        <v>127.64</v>
      </c>
      <c r="H498" s="6">
        <v>32.92</v>
      </c>
      <c r="I498" s="6">
        <v>192.51</v>
      </c>
      <c r="J498" s="6">
        <v>169.29</v>
      </c>
      <c r="K498" s="6">
        <v>1.0653999999999999</v>
      </c>
      <c r="L498" s="6">
        <v>11.387</v>
      </c>
      <c r="M498" s="6">
        <v>2.5897E-2</v>
      </c>
      <c r="N498" s="6" t="s">
        <v>20</v>
      </c>
    </row>
    <row r="499" spans="1:14" ht="17" x14ac:dyDescent="0.35">
      <c r="A499" s="9">
        <v>122.15</v>
      </c>
      <c r="B499" s="11">
        <v>27.933</v>
      </c>
      <c r="C499" s="6">
        <v>5.3411999999999997</v>
      </c>
      <c r="D499" s="6">
        <v>0.18723000000000001</v>
      </c>
      <c r="E499" s="6">
        <v>1.3973</v>
      </c>
      <c r="F499" s="6">
        <v>1.9202999999999999</v>
      </c>
      <c r="G499" s="6">
        <v>127.6</v>
      </c>
      <c r="H499" s="6">
        <v>32.972000000000001</v>
      </c>
      <c r="I499" s="6">
        <v>194.41</v>
      </c>
      <c r="J499" s="6">
        <v>169.21</v>
      </c>
      <c r="K499" s="6">
        <v>1.0631999999999999</v>
      </c>
      <c r="L499" s="6">
        <v>11.404999999999999</v>
      </c>
      <c r="M499" s="6">
        <v>2.6005E-2</v>
      </c>
      <c r="N499" s="6" t="s">
        <v>20</v>
      </c>
    </row>
    <row r="500" spans="1:14" ht="17" x14ac:dyDescent="0.35">
      <c r="A500" s="9">
        <v>122.19</v>
      </c>
      <c r="B500" s="11">
        <v>27.989000000000001</v>
      </c>
      <c r="C500" s="6">
        <v>5.3609999999999998</v>
      </c>
      <c r="D500" s="6">
        <v>0.18653</v>
      </c>
      <c r="E500" s="6">
        <v>1.3946000000000001</v>
      </c>
      <c r="F500" s="6">
        <v>1.9167000000000001</v>
      </c>
      <c r="G500" s="6">
        <v>127.56</v>
      </c>
      <c r="H500" s="6">
        <v>33.024000000000001</v>
      </c>
      <c r="I500" s="6">
        <v>196.34</v>
      </c>
      <c r="J500" s="6">
        <v>169.14</v>
      </c>
      <c r="K500" s="6">
        <v>1.0609999999999999</v>
      </c>
      <c r="L500" s="6">
        <v>11.423</v>
      </c>
      <c r="M500" s="6">
        <v>2.6113999999999998E-2</v>
      </c>
      <c r="N500" s="6" t="s">
        <v>20</v>
      </c>
    </row>
    <row r="501" spans="1:14" ht="17" x14ac:dyDescent="0.35">
      <c r="A501" s="9">
        <v>122.23</v>
      </c>
      <c r="B501" s="11">
        <v>28.045999999999999</v>
      </c>
      <c r="C501" s="6">
        <v>5.3808999999999996</v>
      </c>
      <c r="D501" s="6">
        <v>0.18584000000000001</v>
      </c>
      <c r="E501" s="6">
        <v>1.3917999999999999</v>
      </c>
      <c r="F501" s="6">
        <v>1.913</v>
      </c>
      <c r="G501" s="6">
        <v>127.52</v>
      </c>
      <c r="H501" s="6">
        <v>33.076999999999998</v>
      </c>
      <c r="I501" s="6">
        <v>198.32</v>
      </c>
      <c r="J501" s="6">
        <v>169.06</v>
      </c>
      <c r="K501" s="6">
        <v>1.0588</v>
      </c>
      <c r="L501" s="6">
        <v>11.441000000000001</v>
      </c>
      <c r="M501" s="6">
        <v>2.6224000000000001E-2</v>
      </c>
      <c r="N501" s="6" t="s">
        <v>20</v>
      </c>
    </row>
    <row r="502" spans="1:14" ht="17" x14ac:dyDescent="0.35">
      <c r="A502" s="9">
        <v>122.27</v>
      </c>
      <c r="B502" s="11">
        <v>28.102</v>
      </c>
      <c r="C502" s="6">
        <v>5.4009</v>
      </c>
      <c r="D502" s="6">
        <v>0.18515000000000001</v>
      </c>
      <c r="E502" s="6">
        <v>1.389</v>
      </c>
      <c r="F502" s="6">
        <v>1.9093</v>
      </c>
      <c r="G502" s="6">
        <v>127.48</v>
      </c>
      <c r="H502" s="6">
        <v>33.131</v>
      </c>
      <c r="I502" s="6">
        <v>200.33</v>
      </c>
      <c r="J502" s="6">
        <v>168.98</v>
      </c>
      <c r="K502" s="6">
        <v>1.0566</v>
      </c>
      <c r="L502" s="6">
        <v>11.459</v>
      </c>
      <c r="M502" s="6">
        <v>2.6335999999999998E-2</v>
      </c>
      <c r="N502" s="6" t="s">
        <v>20</v>
      </c>
    </row>
    <row r="503" spans="1:14" ht="17" x14ac:dyDescent="0.35">
      <c r="A503" s="9">
        <v>122.31</v>
      </c>
      <c r="B503" s="11">
        <v>28.158000000000001</v>
      </c>
      <c r="C503" s="6">
        <v>5.4211</v>
      </c>
      <c r="D503" s="6">
        <v>0.18446000000000001</v>
      </c>
      <c r="E503" s="6">
        <v>1.3861000000000001</v>
      </c>
      <c r="F503" s="6">
        <v>1.9055</v>
      </c>
      <c r="G503" s="6">
        <v>127.44</v>
      </c>
      <c r="H503" s="6">
        <v>33.185000000000002</v>
      </c>
      <c r="I503" s="6">
        <v>202.38</v>
      </c>
      <c r="J503" s="6">
        <v>168.9</v>
      </c>
      <c r="K503" s="6">
        <v>1.0543</v>
      </c>
      <c r="L503" s="6">
        <v>11.478</v>
      </c>
      <c r="M503" s="6">
        <v>2.6449E-2</v>
      </c>
      <c r="N503" s="6" t="s">
        <v>20</v>
      </c>
    </row>
    <row r="504" spans="1:14" ht="17" x14ac:dyDescent="0.35">
      <c r="A504" s="9">
        <v>122.36</v>
      </c>
      <c r="B504" s="11">
        <v>28.215</v>
      </c>
      <c r="C504" s="6">
        <v>5.4413999999999998</v>
      </c>
      <c r="D504" s="6">
        <v>0.18378</v>
      </c>
      <c r="E504" s="6">
        <v>1.3833</v>
      </c>
      <c r="F504" s="6">
        <v>1.9017999999999999</v>
      </c>
      <c r="G504" s="6">
        <v>127.4</v>
      </c>
      <c r="H504" s="6">
        <v>33.238999999999997</v>
      </c>
      <c r="I504" s="6">
        <v>204.47</v>
      </c>
      <c r="J504" s="6">
        <v>168.82</v>
      </c>
      <c r="K504" s="6">
        <v>1.0521</v>
      </c>
      <c r="L504" s="6">
        <v>11.496</v>
      </c>
      <c r="M504" s="6">
        <v>2.6563E-2</v>
      </c>
      <c r="N504" s="6" t="s">
        <v>20</v>
      </c>
    </row>
    <row r="505" spans="1:14" ht="17" x14ac:dyDescent="0.35">
      <c r="A505" s="9">
        <v>122.4</v>
      </c>
      <c r="B505" s="11">
        <v>28.271000000000001</v>
      </c>
      <c r="C505" s="6">
        <v>5.4618000000000002</v>
      </c>
      <c r="D505" s="6">
        <v>0.18309</v>
      </c>
      <c r="E505" s="6">
        <v>1.3804000000000001</v>
      </c>
      <c r="F505" s="6">
        <v>1.8979999999999999</v>
      </c>
      <c r="G505" s="6">
        <v>127.37</v>
      </c>
      <c r="H505" s="6">
        <v>33.293999999999997</v>
      </c>
      <c r="I505" s="6">
        <v>206.61</v>
      </c>
      <c r="J505" s="6">
        <v>168.74</v>
      </c>
      <c r="K505" s="6">
        <v>1.0499000000000001</v>
      </c>
      <c r="L505" s="6">
        <v>11.515000000000001</v>
      </c>
      <c r="M505" s="6">
        <v>2.6678E-2</v>
      </c>
      <c r="N505" s="6" t="s">
        <v>20</v>
      </c>
    </row>
    <row r="506" spans="1:14" ht="17" x14ac:dyDescent="0.35">
      <c r="A506" s="9">
        <v>122.44</v>
      </c>
      <c r="B506" s="11">
        <v>28.327000000000002</v>
      </c>
      <c r="C506" s="6">
        <v>5.4823000000000004</v>
      </c>
      <c r="D506" s="6">
        <v>0.18240000000000001</v>
      </c>
      <c r="E506" s="6">
        <v>1.3774999999999999</v>
      </c>
      <c r="F506" s="6">
        <v>1.8942000000000001</v>
      </c>
      <c r="G506" s="6">
        <v>127.33</v>
      </c>
      <c r="H506" s="6">
        <v>33.348999999999997</v>
      </c>
      <c r="I506" s="6">
        <v>208.79</v>
      </c>
      <c r="J506" s="6">
        <v>168.65</v>
      </c>
      <c r="K506" s="6">
        <v>1.0476000000000001</v>
      </c>
      <c r="L506" s="6">
        <v>11.534000000000001</v>
      </c>
      <c r="M506" s="6">
        <v>2.6794999999999999E-2</v>
      </c>
      <c r="N506" s="6" t="s">
        <v>20</v>
      </c>
    </row>
    <row r="507" spans="1:14" ht="17" x14ac:dyDescent="0.35">
      <c r="A507" s="9">
        <v>122.48</v>
      </c>
      <c r="B507" s="11">
        <v>28.382999999999999</v>
      </c>
      <c r="C507" s="6">
        <v>5.5030000000000001</v>
      </c>
      <c r="D507" s="6">
        <v>0.18171999999999999</v>
      </c>
      <c r="E507" s="6">
        <v>1.3745000000000001</v>
      </c>
      <c r="F507" s="6">
        <v>1.8903000000000001</v>
      </c>
      <c r="G507" s="6">
        <v>127.29</v>
      </c>
      <c r="H507" s="6">
        <v>33.405000000000001</v>
      </c>
      <c r="I507" s="6">
        <v>211.02</v>
      </c>
      <c r="J507" s="6">
        <v>168.57</v>
      </c>
      <c r="K507" s="6">
        <v>1.0452999999999999</v>
      </c>
      <c r="L507" s="6">
        <v>11.553000000000001</v>
      </c>
      <c r="M507" s="6">
        <v>2.6914E-2</v>
      </c>
      <c r="N507" s="6" t="s">
        <v>20</v>
      </c>
    </row>
    <row r="508" spans="1:14" ht="17" x14ac:dyDescent="0.35">
      <c r="A508" s="9">
        <v>122.52</v>
      </c>
      <c r="B508" s="11">
        <v>28.44</v>
      </c>
      <c r="C508" s="6">
        <v>5.5237999999999996</v>
      </c>
      <c r="D508" s="6">
        <v>0.18104000000000001</v>
      </c>
      <c r="E508" s="6">
        <v>1.3715999999999999</v>
      </c>
      <c r="F508" s="6">
        <v>1.8865000000000001</v>
      </c>
      <c r="G508" s="6">
        <v>127.25</v>
      </c>
      <c r="H508" s="6">
        <v>33.460999999999999</v>
      </c>
      <c r="I508" s="6">
        <v>213.29</v>
      </c>
      <c r="J508" s="6">
        <v>168.49</v>
      </c>
      <c r="K508" s="6">
        <v>1.0430999999999999</v>
      </c>
      <c r="L508" s="6">
        <v>11.571999999999999</v>
      </c>
      <c r="M508" s="6">
        <v>2.7033999999999999E-2</v>
      </c>
      <c r="N508" s="6" t="s">
        <v>20</v>
      </c>
    </row>
    <row r="509" spans="1:14" ht="17" x14ac:dyDescent="0.35">
      <c r="A509" s="9">
        <v>122.56</v>
      </c>
      <c r="B509" s="11">
        <v>28.495999999999999</v>
      </c>
      <c r="C509" s="6">
        <v>5.5446999999999997</v>
      </c>
      <c r="D509" s="6">
        <v>0.18035000000000001</v>
      </c>
      <c r="E509" s="6">
        <v>1.3686</v>
      </c>
      <c r="F509" s="6">
        <v>1.8826000000000001</v>
      </c>
      <c r="G509" s="6">
        <v>127.21</v>
      </c>
      <c r="H509" s="6">
        <v>33.518000000000001</v>
      </c>
      <c r="I509" s="6">
        <v>215.61</v>
      </c>
      <c r="J509" s="6">
        <v>168.41</v>
      </c>
      <c r="K509" s="6">
        <v>1.0407999999999999</v>
      </c>
      <c r="L509" s="6">
        <v>11.590999999999999</v>
      </c>
      <c r="M509" s="6">
        <v>2.7154999999999999E-2</v>
      </c>
      <c r="N509" s="6" t="s">
        <v>20</v>
      </c>
    </row>
    <row r="510" spans="1:14" ht="17" x14ac:dyDescent="0.35">
      <c r="A510" s="9">
        <v>122.6</v>
      </c>
      <c r="B510" s="11">
        <v>28.552</v>
      </c>
      <c r="C510" s="6">
        <v>5.5656999999999996</v>
      </c>
      <c r="D510" s="6">
        <v>0.17967</v>
      </c>
      <c r="E510" s="6">
        <v>1.3655999999999999</v>
      </c>
      <c r="F510" s="6">
        <v>1.8786</v>
      </c>
      <c r="G510" s="6">
        <v>127.17</v>
      </c>
      <c r="H510" s="6">
        <v>33.576000000000001</v>
      </c>
      <c r="I510" s="6">
        <v>217.99</v>
      </c>
      <c r="J510" s="6">
        <v>168.32</v>
      </c>
      <c r="K510" s="6">
        <v>1.0385</v>
      </c>
      <c r="L510" s="6">
        <v>11.61</v>
      </c>
      <c r="M510" s="6">
        <v>2.7278E-2</v>
      </c>
      <c r="N510" s="6" t="s">
        <v>20</v>
      </c>
    </row>
    <row r="511" spans="1:14" ht="17" x14ac:dyDescent="0.35">
      <c r="A511" s="9">
        <v>122.64</v>
      </c>
      <c r="B511" s="11">
        <v>28.609000000000002</v>
      </c>
      <c r="C511" s="6">
        <v>5.5869</v>
      </c>
      <c r="D511" s="6">
        <v>0.17899000000000001</v>
      </c>
      <c r="E511" s="6">
        <v>1.3626</v>
      </c>
      <c r="F511" s="6">
        <v>1.8747</v>
      </c>
      <c r="G511" s="6">
        <v>127.13</v>
      </c>
      <c r="H511" s="6">
        <v>33.634</v>
      </c>
      <c r="I511" s="6">
        <v>220.41</v>
      </c>
      <c r="J511" s="6">
        <v>168.24</v>
      </c>
      <c r="K511" s="6">
        <v>1.0362</v>
      </c>
      <c r="L511" s="6">
        <v>11.63</v>
      </c>
      <c r="M511" s="6">
        <v>2.7403E-2</v>
      </c>
      <c r="N511" s="6" t="s">
        <v>20</v>
      </c>
    </row>
    <row r="512" spans="1:14" ht="17" x14ac:dyDescent="0.35">
      <c r="A512" s="9">
        <v>122.68</v>
      </c>
      <c r="B512" s="11">
        <v>28.664999999999999</v>
      </c>
      <c r="C512" s="6">
        <v>5.6082999999999998</v>
      </c>
      <c r="D512" s="6">
        <v>0.17831</v>
      </c>
      <c r="E512" s="6">
        <v>1.3595999999999999</v>
      </c>
      <c r="F512" s="6">
        <v>1.8707</v>
      </c>
      <c r="G512" s="6">
        <v>127.08</v>
      </c>
      <c r="H512" s="6">
        <v>33.692</v>
      </c>
      <c r="I512" s="6">
        <v>222.89</v>
      </c>
      <c r="J512" s="6">
        <v>168.15</v>
      </c>
      <c r="K512" s="6">
        <v>1.0338000000000001</v>
      </c>
      <c r="L512" s="6">
        <v>11.648999999999999</v>
      </c>
      <c r="M512" s="6">
        <v>2.7529000000000001E-2</v>
      </c>
      <c r="N512" s="6" t="s">
        <v>20</v>
      </c>
    </row>
    <row r="513" spans="1:14" ht="17" x14ac:dyDescent="0.35">
      <c r="A513" s="9">
        <v>122.72</v>
      </c>
      <c r="B513" s="11">
        <v>28.721</v>
      </c>
      <c r="C513" s="6">
        <v>5.6296999999999997</v>
      </c>
      <c r="D513" s="6">
        <v>0.17763000000000001</v>
      </c>
      <c r="E513" s="6">
        <v>1.3565</v>
      </c>
      <c r="F513" s="6">
        <v>1.8667</v>
      </c>
      <c r="G513" s="6">
        <v>127.04</v>
      </c>
      <c r="H513" s="6">
        <v>33.752000000000002</v>
      </c>
      <c r="I513" s="6">
        <v>225.42</v>
      </c>
      <c r="J513" s="6">
        <v>168.06</v>
      </c>
      <c r="K513" s="6">
        <v>1.0315000000000001</v>
      </c>
      <c r="L513" s="6">
        <v>11.669</v>
      </c>
      <c r="M513" s="6">
        <v>2.7657000000000001E-2</v>
      </c>
      <c r="N513" s="6" t="s">
        <v>20</v>
      </c>
    </row>
    <row r="514" spans="1:14" ht="17" x14ac:dyDescent="0.35">
      <c r="A514" s="9">
        <v>122.76</v>
      </c>
      <c r="B514" s="11">
        <v>28.777000000000001</v>
      </c>
      <c r="C514" s="6">
        <v>5.6513</v>
      </c>
      <c r="D514" s="6">
        <v>0.17695</v>
      </c>
      <c r="E514" s="6">
        <v>1.3533999999999999</v>
      </c>
      <c r="F514" s="6">
        <v>1.8626</v>
      </c>
      <c r="G514" s="6">
        <v>127</v>
      </c>
      <c r="H514" s="6">
        <v>33.811</v>
      </c>
      <c r="I514" s="6">
        <v>228.01</v>
      </c>
      <c r="J514" s="6">
        <v>167.98</v>
      </c>
      <c r="K514" s="6">
        <v>1.0291999999999999</v>
      </c>
      <c r="L514" s="6">
        <v>11.689</v>
      </c>
      <c r="M514" s="6">
        <v>2.7786000000000002E-2</v>
      </c>
      <c r="N514" s="6" t="s">
        <v>20</v>
      </c>
    </row>
    <row r="515" spans="1:14" ht="17" x14ac:dyDescent="0.35">
      <c r="A515" s="9">
        <v>122.8</v>
      </c>
      <c r="B515" s="11">
        <v>28.834</v>
      </c>
      <c r="C515" s="6">
        <v>5.6730999999999998</v>
      </c>
      <c r="D515" s="6">
        <v>0.17627000000000001</v>
      </c>
      <c r="E515" s="6">
        <v>1.3503000000000001</v>
      </c>
      <c r="F515" s="6">
        <v>1.8585</v>
      </c>
      <c r="G515" s="6">
        <v>126.96</v>
      </c>
      <c r="H515" s="6">
        <v>33.872</v>
      </c>
      <c r="I515" s="6">
        <v>230.66</v>
      </c>
      <c r="J515" s="6">
        <v>167.89</v>
      </c>
      <c r="K515" s="6">
        <v>1.0267999999999999</v>
      </c>
      <c r="L515" s="6">
        <v>11.709</v>
      </c>
      <c r="M515" s="6">
        <v>2.7917000000000001E-2</v>
      </c>
      <c r="N515" s="6" t="s">
        <v>20</v>
      </c>
    </row>
    <row r="516" spans="1:14" ht="17" x14ac:dyDescent="0.35">
      <c r="A516" s="9">
        <v>122.84</v>
      </c>
      <c r="B516" s="11">
        <v>28.89</v>
      </c>
      <c r="C516" s="6">
        <v>5.6950000000000003</v>
      </c>
      <c r="D516" s="6">
        <v>0.17559</v>
      </c>
      <c r="E516" s="6">
        <v>1.3471</v>
      </c>
      <c r="F516" s="6">
        <v>1.8544</v>
      </c>
      <c r="G516" s="6">
        <v>126.92</v>
      </c>
      <c r="H516" s="6">
        <v>33.933</v>
      </c>
      <c r="I516" s="6">
        <v>233.36</v>
      </c>
      <c r="J516" s="6">
        <v>167.8</v>
      </c>
      <c r="K516" s="6">
        <v>1.0244</v>
      </c>
      <c r="L516" s="6">
        <v>11.73</v>
      </c>
      <c r="M516" s="6">
        <v>2.8049999999999999E-2</v>
      </c>
      <c r="N516" s="6" t="s">
        <v>20</v>
      </c>
    </row>
    <row r="517" spans="1:14" ht="17" x14ac:dyDescent="0.35">
      <c r="A517" s="9">
        <v>122.88</v>
      </c>
      <c r="B517" s="11">
        <v>28.946000000000002</v>
      </c>
      <c r="C517" s="6">
        <v>5.7171000000000003</v>
      </c>
      <c r="D517" s="6">
        <v>0.17491000000000001</v>
      </c>
      <c r="E517" s="6">
        <v>1.3440000000000001</v>
      </c>
      <c r="F517" s="6">
        <v>1.8503000000000001</v>
      </c>
      <c r="G517" s="6">
        <v>126.88</v>
      </c>
      <c r="H517" s="6">
        <v>33.994999999999997</v>
      </c>
      <c r="I517" s="6">
        <v>236.14</v>
      </c>
      <c r="J517" s="6">
        <v>167.71</v>
      </c>
      <c r="K517" s="6">
        <v>1.0221</v>
      </c>
      <c r="L517" s="6">
        <v>11.75</v>
      </c>
      <c r="M517" s="6">
        <v>2.8185000000000002E-2</v>
      </c>
      <c r="N517" s="6" t="s">
        <v>20</v>
      </c>
    </row>
    <row r="518" spans="1:14" ht="17" x14ac:dyDescent="0.35">
      <c r="A518" s="9">
        <v>122.92</v>
      </c>
      <c r="B518" s="11">
        <v>29.003</v>
      </c>
      <c r="C518" s="6">
        <v>5.7393000000000001</v>
      </c>
      <c r="D518" s="6">
        <v>0.17424000000000001</v>
      </c>
      <c r="E518" s="6">
        <v>1.3408</v>
      </c>
      <c r="F518" s="6">
        <v>1.8461000000000001</v>
      </c>
      <c r="G518" s="6">
        <v>126.84</v>
      </c>
      <c r="H518" s="6">
        <v>34.057000000000002</v>
      </c>
      <c r="I518" s="6">
        <v>238.97</v>
      </c>
      <c r="J518" s="6">
        <v>167.62</v>
      </c>
      <c r="K518" s="6">
        <v>1.0197000000000001</v>
      </c>
      <c r="L518" s="6">
        <v>11.771000000000001</v>
      </c>
      <c r="M518" s="6">
        <v>2.8322E-2</v>
      </c>
      <c r="N518" s="6" t="s">
        <v>20</v>
      </c>
    </row>
    <row r="519" spans="1:14" ht="17" x14ac:dyDescent="0.35">
      <c r="A519" s="9">
        <v>122.96</v>
      </c>
      <c r="B519" s="11">
        <v>29.059000000000001</v>
      </c>
      <c r="C519" s="6">
        <v>5.7617000000000003</v>
      </c>
      <c r="D519" s="6">
        <v>0.17355999999999999</v>
      </c>
      <c r="E519" s="6">
        <v>1.3375999999999999</v>
      </c>
      <c r="F519" s="6">
        <v>1.8419000000000001</v>
      </c>
      <c r="G519" s="6">
        <v>126.79</v>
      </c>
      <c r="H519" s="6">
        <v>34.119999999999997</v>
      </c>
      <c r="I519" s="6">
        <v>241.88</v>
      </c>
      <c r="J519" s="6">
        <v>167.53</v>
      </c>
      <c r="K519" s="6">
        <v>1.0173000000000001</v>
      </c>
      <c r="L519" s="6">
        <v>11.791</v>
      </c>
      <c r="M519" s="6">
        <v>2.8461E-2</v>
      </c>
      <c r="N519" s="6" t="s">
        <v>20</v>
      </c>
    </row>
    <row r="520" spans="1:14" ht="17" x14ac:dyDescent="0.35">
      <c r="A520" s="9">
        <v>123</v>
      </c>
      <c r="B520" s="11">
        <v>29.114999999999998</v>
      </c>
      <c r="C520" s="6">
        <v>5.7842000000000002</v>
      </c>
      <c r="D520" s="6">
        <v>0.17288000000000001</v>
      </c>
      <c r="E520" s="6">
        <v>1.3343</v>
      </c>
      <c r="F520" s="6">
        <v>1.8376999999999999</v>
      </c>
      <c r="G520" s="6">
        <v>126.75</v>
      </c>
      <c r="H520" s="6">
        <v>34.183999999999997</v>
      </c>
      <c r="I520" s="6">
        <v>244.85</v>
      </c>
      <c r="J520" s="6">
        <v>167.44</v>
      </c>
      <c r="K520" s="6">
        <v>1.0148999999999999</v>
      </c>
      <c r="L520" s="6">
        <v>11.811999999999999</v>
      </c>
      <c r="M520" s="6">
        <v>2.8601000000000001E-2</v>
      </c>
      <c r="N520" s="6" t="s">
        <v>20</v>
      </c>
    </row>
    <row r="521" spans="1:14" ht="17" x14ac:dyDescent="0.35">
      <c r="A521" s="9">
        <v>123.04</v>
      </c>
      <c r="B521" s="11">
        <v>29.172000000000001</v>
      </c>
      <c r="C521" s="6">
        <v>5.8068999999999997</v>
      </c>
      <c r="D521" s="6">
        <v>0.17221</v>
      </c>
      <c r="E521" s="6">
        <v>1.331</v>
      </c>
      <c r="F521" s="6">
        <v>1.8333999999999999</v>
      </c>
      <c r="G521" s="6">
        <v>126.71</v>
      </c>
      <c r="H521" s="6">
        <v>34.247999999999998</v>
      </c>
      <c r="I521" s="6">
        <v>247.9</v>
      </c>
      <c r="J521" s="6">
        <v>167.34</v>
      </c>
      <c r="K521" s="6">
        <v>1.0124</v>
      </c>
      <c r="L521" s="6">
        <v>11.834</v>
      </c>
      <c r="M521" s="6">
        <v>2.8743999999999999E-2</v>
      </c>
      <c r="N521" s="6" t="s">
        <v>20</v>
      </c>
    </row>
    <row r="522" spans="1:14" ht="17" x14ac:dyDescent="0.35">
      <c r="A522" s="9">
        <v>123.08</v>
      </c>
      <c r="B522" s="11">
        <v>29.228000000000002</v>
      </c>
      <c r="C522" s="6">
        <v>5.8297999999999996</v>
      </c>
      <c r="D522" s="6">
        <v>0.17152999999999999</v>
      </c>
      <c r="E522" s="6">
        <v>1.3277000000000001</v>
      </c>
      <c r="F522" s="6">
        <v>1.8290999999999999</v>
      </c>
      <c r="G522" s="6">
        <v>126.67</v>
      </c>
      <c r="H522" s="6">
        <v>34.313000000000002</v>
      </c>
      <c r="I522" s="6">
        <v>251.02</v>
      </c>
      <c r="J522" s="6">
        <v>167.25</v>
      </c>
      <c r="K522" s="6">
        <v>1.01</v>
      </c>
      <c r="L522" s="6">
        <v>11.855</v>
      </c>
      <c r="M522" s="6">
        <v>2.8889000000000001E-2</v>
      </c>
      <c r="N522" s="6" t="s">
        <v>20</v>
      </c>
    </row>
    <row r="523" spans="1:14" ht="17" x14ac:dyDescent="0.35">
      <c r="A523" s="9">
        <v>123.12</v>
      </c>
      <c r="B523" s="11">
        <v>29.283999999999999</v>
      </c>
      <c r="C523" s="6">
        <v>5.8528000000000002</v>
      </c>
      <c r="D523" s="6">
        <v>0.17086000000000001</v>
      </c>
      <c r="E523" s="6">
        <v>1.3244</v>
      </c>
      <c r="F523" s="6">
        <v>1.8247</v>
      </c>
      <c r="G523" s="6">
        <v>126.62</v>
      </c>
      <c r="H523" s="6">
        <v>34.378999999999998</v>
      </c>
      <c r="I523" s="6">
        <v>254.22</v>
      </c>
      <c r="J523" s="6">
        <v>167.15</v>
      </c>
      <c r="K523" s="6">
        <v>1.0075000000000001</v>
      </c>
      <c r="L523" s="6">
        <v>11.875999999999999</v>
      </c>
      <c r="M523" s="6">
        <v>2.9035999999999999E-2</v>
      </c>
      <c r="N523" s="6" t="s">
        <v>20</v>
      </c>
    </row>
    <row r="524" spans="1:14" ht="17" x14ac:dyDescent="0.35">
      <c r="A524" s="9">
        <v>123.16</v>
      </c>
      <c r="B524" s="11">
        <v>29.34</v>
      </c>
      <c r="C524" s="6">
        <v>5.8760000000000003</v>
      </c>
      <c r="D524" s="6">
        <v>0.17018</v>
      </c>
      <c r="E524" s="6">
        <v>1.321</v>
      </c>
      <c r="F524" s="6">
        <v>1.8203</v>
      </c>
      <c r="G524" s="6">
        <v>126.58</v>
      </c>
      <c r="H524" s="6">
        <v>34.445999999999998</v>
      </c>
      <c r="I524" s="6">
        <v>257.5</v>
      </c>
      <c r="J524" s="6">
        <v>167.06</v>
      </c>
      <c r="K524" s="6">
        <v>1.0051000000000001</v>
      </c>
      <c r="L524" s="6">
        <v>11.898</v>
      </c>
      <c r="M524" s="6">
        <v>2.9184999999999999E-2</v>
      </c>
      <c r="N524" s="6" t="s">
        <v>20</v>
      </c>
    </row>
    <row r="525" spans="1:14" ht="17" x14ac:dyDescent="0.35">
      <c r="A525" s="9">
        <v>123.2</v>
      </c>
      <c r="B525" s="11">
        <v>29.396999999999998</v>
      </c>
      <c r="C525" s="6">
        <v>5.8994</v>
      </c>
      <c r="D525" s="6">
        <v>0.16950999999999999</v>
      </c>
      <c r="E525" s="6">
        <v>1.3176000000000001</v>
      </c>
      <c r="F525" s="6">
        <v>1.8159000000000001</v>
      </c>
      <c r="G525" s="6">
        <v>126.54</v>
      </c>
      <c r="H525" s="6">
        <v>34.512999999999998</v>
      </c>
      <c r="I525" s="6">
        <v>260.87</v>
      </c>
      <c r="J525" s="6">
        <v>166.96</v>
      </c>
      <c r="K525" s="6">
        <v>1.0025999999999999</v>
      </c>
      <c r="L525" s="6">
        <v>11.92</v>
      </c>
      <c r="M525" s="6">
        <v>2.9336000000000001E-2</v>
      </c>
      <c r="N525" s="6" t="s">
        <v>20</v>
      </c>
    </row>
    <row r="526" spans="1:14" ht="17" x14ac:dyDescent="0.35">
      <c r="A526" s="9">
        <v>123.24</v>
      </c>
      <c r="B526" s="11">
        <v>29.452999999999999</v>
      </c>
      <c r="C526" s="6">
        <v>5.9229000000000003</v>
      </c>
      <c r="D526" s="6">
        <v>0.16883000000000001</v>
      </c>
      <c r="E526" s="6">
        <v>1.3142</v>
      </c>
      <c r="F526" s="6">
        <v>1.8115000000000001</v>
      </c>
      <c r="G526" s="6">
        <v>126.49</v>
      </c>
      <c r="H526" s="6">
        <v>34.581000000000003</v>
      </c>
      <c r="I526" s="6">
        <v>264.32</v>
      </c>
      <c r="J526" s="6">
        <v>166.86</v>
      </c>
      <c r="K526" s="6">
        <v>1.0001</v>
      </c>
      <c r="L526" s="6">
        <v>11.942</v>
      </c>
      <c r="M526" s="6">
        <v>2.9489999999999999E-2</v>
      </c>
      <c r="N526" s="6" t="s">
        <v>20</v>
      </c>
    </row>
    <row r="527" spans="1:14" ht="17" x14ac:dyDescent="0.35">
      <c r="A527" s="9">
        <v>123.28</v>
      </c>
      <c r="B527" s="11">
        <v>29.509</v>
      </c>
      <c r="C527" s="6">
        <v>5.9466999999999999</v>
      </c>
      <c r="D527" s="6">
        <v>0.16816</v>
      </c>
      <c r="E527" s="6">
        <v>1.3107</v>
      </c>
      <c r="F527" s="6">
        <v>1.8069999999999999</v>
      </c>
      <c r="G527" s="6">
        <v>126.45</v>
      </c>
      <c r="H527" s="6">
        <v>34.65</v>
      </c>
      <c r="I527" s="6">
        <v>267.86</v>
      </c>
      <c r="J527" s="6">
        <v>166.76</v>
      </c>
      <c r="K527" s="6">
        <v>0.99756</v>
      </c>
      <c r="L527" s="6">
        <v>11.964</v>
      </c>
      <c r="M527" s="6">
        <v>2.9645999999999999E-2</v>
      </c>
      <c r="N527" s="6" t="s">
        <v>20</v>
      </c>
    </row>
    <row r="528" spans="1:14" ht="17" x14ac:dyDescent="0.35">
      <c r="A528" s="9">
        <v>123.32</v>
      </c>
      <c r="B528" s="11">
        <v>29.565999999999999</v>
      </c>
      <c r="C528" s="6">
        <v>5.9706000000000001</v>
      </c>
      <c r="D528" s="6">
        <v>0.16749</v>
      </c>
      <c r="E528" s="6">
        <v>1.3072999999999999</v>
      </c>
      <c r="F528" s="6">
        <v>1.8024</v>
      </c>
      <c r="G528" s="6">
        <v>126.4</v>
      </c>
      <c r="H528" s="6">
        <v>34.72</v>
      </c>
      <c r="I528" s="6">
        <v>271.5</v>
      </c>
      <c r="J528" s="6">
        <v>166.66</v>
      </c>
      <c r="K528" s="6">
        <v>0.99502999999999997</v>
      </c>
      <c r="L528" s="6">
        <v>11.987</v>
      </c>
      <c r="M528" s="6">
        <v>2.9804000000000001E-2</v>
      </c>
      <c r="N528" s="6" t="s">
        <v>20</v>
      </c>
    </row>
    <row r="529" spans="1:14" ht="17" x14ac:dyDescent="0.35">
      <c r="A529" s="9">
        <v>123.35</v>
      </c>
      <c r="B529" s="11">
        <v>29.622</v>
      </c>
      <c r="C529" s="6">
        <v>5.9947999999999997</v>
      </c>
      <c r="D529" s="6">
        <v>0.16681000000000001</v>
      </c>
      <c r="E529" s="6">
        <v>1.3037000000000001</v>
      </c>
      <c r="F529" s="6">
        <v>1.7979000000000001</v>
      </c>
      <c r="G529" s="6">
        <v>126.36</v>
      </c>
      <c r="H529" s="6">
        <v>34.790999999999997</v>
      </c>
      <c r="I529" s="6">
        <v>275.23</v>
      </c>
      <c r="J529" s="6">
        <v>166.56</v>
      </c>
      <c r="K529" s="6">
        <v>0.99248999999999998</v>
      </c>
      <c r="L529" s="6">
        <v>12.01</v>
      </c>
      <c r="M529" s="6">
        <v>2.9964999999999999E-2</v>
      </c>
      <c r="N529" s="6" t="s">
        <v>20</v>
      </c>
    </row>
    <row r="530" spans="1:14" ht="17" x14ac:dyDescent="0.35">
      <c r="A530" s="9">
        <v>123.39</v>
      </c>
      <c r="B530" s="11">
        <v>29.678000000000001</v>
      </c>
      <c r="C530" s="6">
        <v>6.0190999999999999</v>
      </c>
      <c r="D530" s="6">
        <v>0.16614000000000001</v>
      </c>
      <c r="E530" s="6">
        <v>1.3002</v>
      </c>
      <c r="F530" s="6">
        <v>1.7931999999999999</v>
      </c>
      <c r="G530" s="6">
        <v>126.31</v>
      </c>
      <c r="H530" s="6">
        <v>34.863</v>
      </c>
      <c r="I530" s="6">
        <v>279.07</v>
      </c>
      <c r="J530" s="6">
        <v>166.46</v>
      </c>
      <c r="K530" s="6">
        <v>0.98992999999999998</v>
      </c>
      <c r="L530" s="6">
        <v>12.032999999999999</v>
      </c>
      <c r="M530" s="6">
        <v>3.0129E-2</v>
      </c>
      <c r="N530" s="6" t="s">
        <v>20</v>
      </c>
    </row>
    <row r="531" spans="1:14" ht="17" x14ac:dyDescent="0.35">
      <c r="A531" s="9">
        <v>123.43</v>
      </c>
      <c r="B531" s="11">
        <v>29.734000000000002</v>
      </c>
      <c r="C531" s="6">
        <v>6.0435999999999996</v>
      </c>
      <c r="D531" s="6">
        <v>0.16546</v>
      </c>
      <c r="E531" s="6">
        <v>1.2966</v>
      </c>
      <c r="F531" s="6">
        <v>1.7886</v>
      </c>
      <c r="G531" s="6">
        <v>126.27</v>
      </c>
      <c r="H531" s="6">
        <v>34.935000000000002</v>
      </c>
      <c r="I531" s="6">
        <v>283.01</v>
      </c>
      <c r="J531" s="6">
        <v>166.36</v>
      </c>
      <c r="K531" s="6">
        <v>0.98736000000000002</v>
      </c>
      <c r="L531" s="6">
        <v>12.055999999999999</v>
      </c>
      <c r="M531" s="6">
        <v>3.0294999999999999E-2</v>
      </c>
      <c r="N531" s="6" t="s">
        <v>20</v>
      </c>
    </row>
    <row r="532" spans="1:14" ht="17" x14ac:dyDescent="0.35">
      <c r="A532" s="9">
        <v>123.47</v>
      </c>
      <c r="B532" s="11">
        <v>29.791</v>
      </c>
      <c r="C532" s="6">
        <v>6.0682999999999998</v>
      </c>
      <c r="D532" s="6">
        <v>0.16478999999999999</v>
      </c>
      <c r="E532" s="6">
        <v>1.2929999999999999</v>
      </c>
      <c r="F532" s="6">
        <v>1.7839</v>
      </c>
      <c r="G532" s="6">
        <v>126.22</v>
      </c>
      <c r="H532" s="6">
        <v>35.009</v>
      </c>
      <c r="I532" s="6">
        <v>287.06</v>
      </c>
      <c r="J532" s="6">
        <v>166.25</v>
      </c>
      <c r="K532" s="6">
        <v>0.98475999999999997</v>
      </c>
      <c r="L532" s="6">
        <v>12.079000000000001</v>
      </c>
      <c r="M532" s="6">
        <v>3.0464000000000001E-2</v>
      </c>
      <c r="N532" s="6" t="s">
        <v>20</v>
      </c>
    </row>
    <row r="533" spans="1:14" ht="17" x14ac:dyDescent="0.35">
      <c r="A533" s="9">
        <v>123.51</v>
      </c>
      <c r="B533" s="11">
        <v>29.847000000000001</v>
      </c>
      <c r="C533" s="6">
        <v>6.0932000000000004</v>
      </c>
      <c r="D533" s="6">
        <v>0.16411999999999999</v>
      </c>
      <c r="E533" s="6">
        <v>1.2892999999999999</v>
      </c>
      <c r="F533" s="6">
        <v>1.7790999999999999</v>
      </c>
      <c r="G533" s="6">
        <v>126.18</v>
      </c>
      <c r="H533" s="6">
        <v>35.082999999999998</v>
      </c>
      <c r="I533" s="6">
        <v>291.23</v>
      </c>
      <c r="J533" s="6">
        <v>166.15</v>
      </c>
      <c r="K533" s="6">
        <v>0.98216000000000003</v>
      </c>
      <c r="L533" s="6">
        <v>12.103</v>
      </c>
      <c r="M533" s="6">
        <v>3.0636E-2</v>
      </c>
      <c r="N533" s="6" t="s">
        <v>20</v>
      </c>
    </row>
    <row r="534" spans="1:14" ht="17" x14ac:dyDescent="0.35">
      <c r="A534" s="9">
        <v>123.55</v>
      </c>
      <c r="B534" s="11">
        <v>29.902999999999999</v>
      </c>
      <c r="C534" s="6">
        <v>6.1184000000000003</v>
      </c>
      <c r="D534" s="6">
        <v>0.16344</v>
      </c>
      <c r="E534" s="6">
        <v>1.2856000000000001</v>
      </c>
      <c r="F534" s="6">
        <v>1.7744</v>
      </c>
      <c r="G534" s="6">
        <v>126.13</v>
      </c>
      <c r="H534" s="6">
        <v>35.158000000000001</v>
      </c>
      <c r="I534" s="6">
        <v>295.52</v>
      </c>
      <c r="J534" s="6">
        <v>166.04</v>
      </c>
      <c r="K534" s="6">
        <v>0.97953000000000001</v>
      </c>
      <c r="L534" s="6">
        <v>12.127000000000001</v>
      </c>
      <c r="M534" s="6">
        <v>3.0811000000000002E-2</v>
      </c>
      <c r="N534" s="6" t="s">
        <v>20</v>
      </c>
    </row>
    <row r="535" spans="1:14" ht="17" x14ac:dyDescent="0.35">
      <c r="A535" s="9">
        <v>123.59</v>
      </c>
      <c r="B535" s="11">
        <v>29.96</v>
      </c>
      <c r="C535" s="6">
        <v>6.1437999999999997</v>
      </c>
      <c r="D535" s="6">
        <v>0.16277</v>
      </c>
      <c r="E535" s="6">
        <v>1.2819</v>
      </c>
      <c r="F535" s="6">
        <v>1.7695000000000001</v>
      </c>
      <c r="G535" s="6">
        <v>126.08</v>
      </c>
      <c r="H535" s="6">
        <v>35.234999999999999</v>
      </c>
      <c r="I535" s="6">
        <v>299.93</v>
      </c>
      <c r="J535" s="6">
        <v>165.93</v>
      </c>
      <c r="K535" s="6">
        <v>0.97689000000000004</v>
      </c>
      <c r="L535" s="6">
        <v>12.151</v>
      </c>
      <c r="M535" s="6">
        <v>3.0988999999999999E-2</v>
      </c>
      <c r="N535" s="6" t="s">
        <v>20</v>
      </c>
    </row>
    <row r="536" spans="1:14" ht="17" x14ac:dyDescent="0.35">
      <c r="A536" s="9">
        <v>123.63</v>
      </c>
      <c r="B536" s="11">
        <v>30.015999999999998</v>
      </c>
      <c r="C536" s="6">
        <v>6.1692999999999998</v>
      </c>
      <c r="D536" s="6">
        <v>0.16209000000000001</v>
      </c>
      <c r="E536" s="6">
        <v>1.2781</v>
      </c>
      <c r="F536" s="6">
        <v>1.7646999999999999</v>
      </c>
      <c r="G536" s="6">
        <v>126.04</v>
      </c>
      <c r="H536" s="6">
        <v>35.311999999999998</v>
      </c>
      <c r="I536" s="6">
        <v>304.47000000000003</v>
      </c>
      <c r="J536" s="6">
        <v>165.82</v>
      </c>
      <c r="K536" s="6">
        <v>0.97423000000000004</v>
      </c>
      <c r="L536" s="6">
        <v>12.175000000000001</v>
      </c>
      <c r="M536" s="6">
        <v>3.117E-2</v>
      </c>
      <c r="N536" s="6" t="s">
        <v>20</v>
      </c>
    </row>
    <row r="537" spans="1:14" ht="17" x14ac:dyDescent="0.35">
      <c r="A537" s="9">
        <v>123.67</v>
      </c>
      <c r="B537" s="11">
        <v>30.071999999999999</v>
      </c>
      <c r="C537" s="6">
        <v>6.1951000000000001</v>
      </c>
      <c r="D537" s="6">
        <v>0.16142000000000001</v>
      </c>
      <c r="E537" s="6">
        <v>1.2743</v>
      </c>
      <c r="F537" s="6">
        <v>1.7597</v>
      </c>
      <c r="G537" s="6">
        <v>125.99</v>
      </c>
      <c r="H537" s="6">
        <v>35.390999999999998</v>
      </c>
      <c r="I537" s="6">
        <v>309.14999999999998</v>
      </c>
      <c r="J537" s="6">
        <v>165.71</v>
      </c>
      <c r="K537" s="6">
        <v>0.97155000000000002</v>
      </c>
      <c r="L537" s="6">
        <v>12.2</v>
      </c>
      <c r="M537" s="6">
        <v>3.1355000000000001E-2</v>
      </c>
      <c r="N537" s="6" t="s">
        <v>20</v>
      </c>
    </row>
    <row r="538" spans="1:14" ht="17" x14ac:dyDescent="0.35">
      <c r="A538" s="9">
        <v>123.7</v>
      </c>
      <c r="B538" s="11">
        <v>30.128</v>
      </c>
      <c r="C538" s="6">
        <v>6.2211999999999996</v>
      </c>
      <c r="D538" s="6">
        <v>0.16073999999999999</v>
      </c>
      <c r="E538" s="6">
        <v>1.2705</v>
      </c>
      <c r="F538" s="6">
        <v>1.7547999999999999</v>
      </c>
      <c r="G538" s="6">
        <v>125.94</v>
      </c>
      <c r="H538" s="6">
        <v>35.470999999999997</v>
      </c>
      <c r="I538" s="6">
        <v>313.97000000000003</v>
      </c>
      <c r="J538" s="6">
        <v>165.59</v>
      </c>
      <c r="K538" s="6">
        <v>0.96886000000000005</v>
      </c>
      <c r="L538" s="6">
        <v>12.225</v>
      </c>
      <c r="M538" s="6">
        <v>3.1542000000000001E-2</v>
      </c>
      <c r="N538" s="6" t="s">
        <v>20</v>
      </c>
    </row>
    <row r="539" spans="1:14" ht="17" x14ac:dyDescent="0.35">
      <c r="A539" s="9">
        <v>123.74</v>
      </c>
      <c r="B539" s="11">
        <v>30.184999999999999</v>
      </c>
      <c r="C539" s="6">
        <v>6.2474999999999996</v>
      </c>
      <c r="D539" s="6">
        <v>0.16006000000000001</v>
      </c>
      <c r="E539" s="6">
        <v>1.2665999999999999</v>
      </c>
      <c r="F539" s="6">
        <v>1.7497</v>
      </c>
      <c r="G539" s="6">
        <v>125.89</v>
      </c>
      <c r="H539" s="6">
        <v>35.551000000000002</v>
      </c>
      <c r="I539" s="6">
        <v>318.94</v>
      </c>
      <c r="J539" s="6">
        <v>165.48</v>
      </c>
      <c r="K539" s="6">
        <v>0.96614</v>
      </c>
      <c r="L539" s="6">
        <v>12.25</v>
      </c>
      <c r="M539" s="6">
        <v>3.1732999999999997E-2</v>
      </c>
      <c r="N539" s="6" t="s">
        <v>20</v>
      </c>
    </row>
    <row r="540" spans="1:14" ht="17" x14ac:dyDescent="0.35">
      <c r="A540" s="9">
        <v>123.78</v>
      </c>
      <c r="B540" s="11">
        <v>30.241</v>
      </c>
      <c r="C540" s="6">
        <v>6.274</v>
      </c>
      <c r="D540" s="6">
        <v>0.15939</v>
      </c>
      <c r="E540" s="6">
        <v>1.2626999999999999</v>
      </c>
      <c r="F540" s="6">
        <v>1.7446999999999999</v>
      </c>
      <c r="G540" s="6">
        <v>125.85</v>
      </c>
      <c r="H540" s="6">
        <v>35.633000000000003</v>
      </c>
      <c r="I540" s="6">
        <v>324.07</v>
      </c>
      <c r="J540" s="6">
        <v>165.36</v>
      </c>
      <c r="K540" s="6">
        <v>0.96340999999999999</v>
      </c>
      <c r="L540" s="6">
        <v>12.276</v>
      </c>
      <c r="M540" s="6">
        <v>3.1927999999999998E-2</v>
      </c>
      <c r="N540" s="6" t="s">
        <v>20</v>
      </c>
    </row>
    <row r="541" spans="1:14" ht="17" x14ac:dyDescent="0.35">
      <c r="A541" s="9">
        <v>123.82</v>
      </c>
      <c r="B541" s="11">
        <v>30.297000000000001</v>
      </c>
      <c r="C541" s="6">
        <v>6.3007999999999997</v>
      </c>
      <c r="D541" s="6">
        <v>0.15870999999999999</v>
      </c>
      <c r="E541" s="6">
        <v>1.2586999999999999</v>
      </c>
      <c r="F541" s="6">
        <v>1.7395</v>
      </c>
      <c r="G541" s="6">
        <v>125.8</v>
      </c>
      <c r="H541" s="6">
        <v>35.716999999999999</v>
      </c>
      <c r="I541" s="6">
        <v>329.35</v>
      </c>
      <c r="J541" s="6">
        <v>165.25</v>
      </c>
      <c r="K541" s="6">
        <v>0.96065999999999996</v>
      </c>
      <c r="L541" s="6">
        <v>12.301</v>
      </c>
      <c r="M541" s="6">
        <v>3.2127000000000003E-2</v>
      </c>
      <c r="N541" s="6" t="s">
        <v>20</v>
      </c>
    </row>
    <row r="542" spans="1:14" ht="17" x14ac:dyDescent="0.35">
      <c r="A542" s="9">
        <v>123.86</v>
      </c>
      <c r="B542" s="11">
        <v>30.353999999999999</v>
      </c>
      <c r="C542" s="6">
        <v>6.3277999999999999</v>
      </c>
      <c r="D542" s="6">
        <v>0.15803</v>
      </c>
      <c r="E542" s="6">
        <v>1.2546999999999999</v>
      </c>
      <c r="F542" s="6">
        <v>1.7343999999999999</v>
      </c>
      <c r="G542" s="6">
        <v>125.75</v>
      </c>
      <c r="H542" s="6">
        <v>35.801000000000002</v>
      </c>
      <c r="I542" s="6">
        <v>334.81</v>
      </c>
      <c r="J542" s="6">
        <v>165.13</v>
      </c>
      <c r="K542" s="6">
        <v>0.95787999999999995</v>
      </c>
      <c r="L542" s="6">
        <v>12.327</v>
      </c>
      <c r="M542" s="6">
        <v>3.2328999999999997E-2</v>
      </c>
      <c r="N542" s="6" t="s">
        <v>20</v>
      </c>
    </row>
    <row r="543" spans="1:14" ht="17" x14ac:dyDescent="0.35">
      <c r="A543" s="9">
        <v>123.9</v>
      </c>
      <c r="B543" s="11">
        <v>30.41</v>
      </c>
      <c r="C543" s="6">
        <v>6.3551000000000002</v>
      </c>
      <c r="D543" s="6">
        <v>0.15734999999999999</v>
      </c>
      <c r="E543" s="6">
        <v>1.2505999999999999</v>
      </c>
      <c r="F543" s="6">
        <v>1.7291000000000001</v>
      </c>
      <c r="G543" s="6">
        <v>125.7</v>
      </c>
      <c r="H543" s="6">
        <v>35.887</v>
      </c>
      <c r="I543" s="6">
        <v>340.45</v>
      </c>
      <c r="J543" s="6">
        <v>165.01</v>
      </c>
      <c r="K543" s="6">
        <v>0.95508999999999999</v>
      </c>
      <c r="L543" s="6">
        <v>12.353999999999999</v>
      </c>
      <c r="M543" s="6">
        <v>3.2535000000000001E-2</v>
      </c>
      <c r="N543" s="6" t="s">
        <v>20</v>
      </c>
    </row>
    <row r="544" spans="1:14" ht="17" x14ac:dyDescent="0.35">
      <c r="A544" s="9">
        <v>123.94</v>
      </c>
      <c r="B544" s="11">
        <v>30.466000000000001</v>
      </c>
      <c r="C544" s="6">
        <v>6.3826999999999998</v>
      </c>
      <c r="D544" s="6">
        <v>0.15667</v>
      </c>
      <c r="E544" s="6">
        <v>1.2464999999999999</v>
      </c>
      <c r="F544" s="6">
        <v>1.7238</v>
      </c>
      <c r="G544" s="6">
        <v>125.65</v>
      </c>
      <c r="H544" s="6">
        <v>35.973999999999997</v>
      </c>
      <c r="I544" s="6">
        <v>346.28</v>
      </c>
      <c r="J544" s="6">
        <v>164.88</v>
      </c>
      <c r="K544" s="6">
        <v>0.95226999999999995</v>
      </c>
      <c r="L544" s="6">
        <v>12.38</v>
      </c>
      <c r="M544" s="6">
        <v>3.2745999999999997E-2</v>
      </c>
      <c r="N544" s="6" t="s">
        <v>20</v>
      </c>
    </row>
    <row r="545" spans="1:14" ht="17" x14ac:dyDescent="0.35">
      <c r="A545" s="9">
        <v>123.97</v>
      </c>
      <c r="B545" s="11">
        <v>30.523</v>
      </c>
      <c r="C545" s="6">
        <v>6.4104999999999999</v>
      </c>
      <c r="D545" s="6">
        <v>0.15598999999999999</v>
      </c>
      <c r="E545" s="6">
        <v>1.2423999999999999</v>
      </c>
      <c r="F545" s="6">
        <v>1.7184999999999999</v>
      </c>
      <c r="G545" s="6">
        <v>125.6</v>
      </c>
      <c r="H545" s="6">
        <v>36.061999999999998</v>
      </c>
      <c r="I545" s="6">
        <v>352.3</v>
      </c>
      <c r="J545" s="6">
        <v>164.76</v>
      </c>
      <c r="K545" s="6">
        <v>0.94943999999999995</v>
      </c>
      <c r="L545" s="6">
        <v>12.407</v>
      </c>
      <c r="M545" s="6">
        <v>3.2960000000000003E-2</v>
      </c>
      <c r="N545" s="6" t="s">
        <v>20</v>
      </c>
    </row>
    <row r="546" spans="1:14" ht="17" x14ac:dyDescent="0.35">
      <c r="A546" s="9">
        <v>124.01</v>
      </c>
      <c r="B546" s="11">
        <v>30.579000000000001</v>
      </c>
      <c r="C546" s="6">
        <v>6.4386999999999999</v>
      </c>
      <c r="D546" s="6">
        <v>0.15531</v>
      </c>
      <c r="E546" s="6">
        <v>1.2382</v>
      </c>
      <c r="F546" s="6">
        <v>1.7131000000000001</v>
      </c>
      <c r="G546" s="6">
        <v>125.55</v>
      </c>
      <c r="H546" s="6">
        <v>36.152000000000001</v>
      </c>
      <c r="I546" s="6">
        <v>358.54</v>
      </c>
      <c r="J546" s="6">
        <v>164.63</v>
      </c>
      <c r="K546" s="6">
        <v>0.94657999999999998</v>
      </c>
      <c r="L546" s="6">
        <v>12.435</v>
      </c>
      <c r="M546" s="6">
        <v>3.3179E-2</v>
      </c>
      <c r="N546" s="6" t="s">
        <v>20</v>
      </c>
    </row>
    <row r="547" spans="1:14" ht="17" x14ac:dyDescent="0.35">
      <c r="A547" s="9">
        <v>124.05</v>
      </c>
      <c r="B547" s="11">
        <v>30.635000000000002</v>
      </c>
      <c r="C547" s="6">
        <v>6.4671000000000003</v>
      </c>
      <c r="D547" s="6">
        <v>0.15462999999999999</v>
      </c>
      <c r="E547" s="6">
        <v>1.2339</v>
      </c>
      <c r="F547" s="6">
        <v>1.7076</v>
      </c>
      <c r="G547" s="6">
        <v>125.5</v>
      </c>
      <c r="H547" s="6">
        <v>36.243000000000002</v>
      </c>
      <c r="I547" s="6">
        <v>364.99</v>
      </c>
      <c r="J547" s="6">
        <v>164.5</v>
      </c>
      <c r="K547" s="6">
        <v>0.94369999999999998</v>
      </c>
      <c r="L547" s="6">
        <v>12.462</v>
      </c>
      <c r="M547" s="6">
        <v>3.3403000000000002E-2</v>
      </c>
      <c r="N547" s="6" t="s">
        <v>20</v>
      </c>
    </row>
    <row r="548" spans="1:14" ht="17" x14ac:dyDescent="0.35">
      <c r="A548" s="9">
        <v>124.09</v>
      </c>
      <c r="B548" s="11">
        <v>30.690999999999999</v>
      </c>
      <c r="C548" s="6">
        <v>6.4958</v>
      </c>
      <c r="D548" s="6">
        <v>0.15393999999999999</v>
      </c>
      <c r="E548" s="6">
        <v>1.2296</v>
      </c>
      <c r="F548" s="6">
        <v>1.7020999999999999</v>
      </c>
      <c r="G548" s="6">
        <v>125.45</v>
      </c>
      <c r="H548" s="6">
        <v>36.335999999999999</v>
      </c>
      <c r="I548" s="6">
        <v>371.67</v>
      </c>
      <c r="J548" s="6">
        <v>164.37</v>
      </c>
      <c r="K548" s="6">
        <v>0.94079000000000002</v>
      </c>
      <c r="L548" s="6">
        <v>12.49</v>
      </c>
      <c r="M548" s="6">
        <v>3.3632000000000002E-2</v>
      </c>
      <c r="N548" s="6" t="s">
        <v>20</v>
      </c>
    </row>
    <row r="549" spans="1:14" ht="17" x14ac:dyDescent="0.35">
      <c r="A549" s="9">
        <v>124.13</v>
      </c>
      <c r="B549" s="11">
        <v>30.748000000000001</v>
      </c>
      <c r="C549" s="6">
        <v>6.5248999999999997</v>
      </c>
      <c r="D549" s="6">
        <v>0.15326000000000001</v>
      </c>
      <c r="E549" s="6">
        <v>1.2253000000000001</v>
      </c>
      <c r="F549" s="6">
        <v>1.6964999999999999</v>
      </c>
      <c r="G549" s="6">
        <v>125.39</v>
      </c>
      <c r="H549" s="6">
        <v>36.430999999999997</v>
      </c>
      <c r="I549" s="6">
        <v>378.59</v>
      </c>
      <c r="J549" s="6">
        <v>164.24</v>
      </c>
      <c r="K549" s="6">
        <v>0.93786000000000003</v>
      </c>
      <c r="L549" s="6">
        <v>12.519</v>
      </c>
      <c r="M549" s="6">
        <v>3.3864999999999999E-2</v>
      </c>
      <c r="N549" s="6" t="s">
        <v>20</v>
      </c>
    </row>
    <row r="550" spans="1:14" ht="17" x14ac:dyDescent="0.35">
      <c r="A550" s="9">
        <v>124.16</v>
      </c>
      <c r="B550" s="11">
        <v>30.803999999999998</v>
      </c>
      <c r="C550" s="6">
        <v>6.5541999999999998</v>
      </c>
      <c r="D550" s="6">
        <v>0.15257000000000001</v>
      </c>
      <c r="E550" s="6">
        <v>1.2209000000000001</v>
      </c>
      <c r="F550" s="6">
        <v>1.6909000000000001</v>
      </c>
      <c r="G550" s="6">
        <v>125.34</v>
      </c>
      <c r="H550" s="6">
        <v>36.527000000000001</v>
      </c>
      <c r="I550" s="6">
        <v>385.77</v>
      </c>
      <c r="J550" s="6">
        <v>164.11</v>
      </c>
      <c r="K550" s="6">
        <v>0.93491000000000002</v>
      </c>
      <c r="L550" s="6">
        <v>12.548</v>
      </c>
      <c r="M550" s="6">
        <v>3.4104000000000002E-2</v>
      </c>
      <c r="N550" s="6" t="s">
        <v>20</v>
      </c>
    </row>
    <row r="551" spans="1:14" ht="17" x14ac:dyDescent="0.35">
      <c r="A551" s="9">
        <v>124.2</v>
      </c>
      <c r="B551" s="11">
        <v>30.86</v>
      </c>
      <c r="C551" s="6">
        <v>6.5838999999999999</v>
      </c>
      <c r="D551" s="6">
        <v>0.15189</v>
      </c>
      <c r="E551" s="6">
        <v>1.2163999999999999</v>
      </c>
      <c r="F551" s="6">
        <v>1.6852</v>
      </c>
      <c r="G551" s="6">
        <v>125.29</v>
      </c>
      <c r="H551" s="6">
        <v>36.624000000000002</v>
      </c>
      <c r="I551" s="6">
        <v>393.22</v>
      </c>
      <c r="J551" s="6">
        <v>163.97</v>
      </c>
      <c r="K551" s="6">
        <v>0.93193000000000004</v>
      </c>
      <c r="L551" s="6">
        <v>12.577</v>
      </c>
      <c r="M551" s="6">
        <v>3.4347999999999997E-2</v>
      </c>
      <c r="N551" s="6" t="s">
        <v>20</v>
      </c>
    </row>
    <row r="552" spans="1:14" ht="17" x14ac:dyDescent="0.35">
      <c r="A552" s="9">
        <v>124.24</v>
      </c>
      <c r="B552" s="11">
        <v>30.917000000000002</v>
      </c>
      <c r="C552" s="6">
        <v>6.6139000000000001</v>
      </c>
      <c r="D552" s="6">
        <v>0.1512</v>
      </c>
      <c r="E552" s="6">
        <v>1.2119</v>
      </c>
      <c r="F552" s="6">
        <v>1.6794</v>
      </c>
      <c r="G552" s="6">
        <v>125.24</v>
      </c>
      <c r="H552" s="6">
        <v>36.723999999999997</v>
      </c>
      <c r="I552" s="6">
        <v>400.95</v>
      </c>
      <c r="J552" s="6">
        <v>163.83000000000001</v>
      </c>
      <c r="K552" s="6">
        <v>0.92893000000000003</v>
      </c>
      <c r="L552" s="6">
        <v>12.606</v>
      </c>
      <c r="M552" s="6">
        <v>3.4597999999999997E-2</v>
      </c>
      <c r="N552" s="6" t="s">
        <v>20</v>
      </c>
    </row>
    <row r="553" spans="1:14" ht="17" x14ac:dyDescent="0.35">
      <c r="A553" s="9">
        <v>124.28</v>
      </c>
      <c r="B553" s="11">
        <v>30.972999999999999</v>
      </c>
      <c r="C553" s="6">
        <v>6.6443000000000003</v>
      </c>
      <c r="D553" s="6">
        <v>0.15051</v>
      </c>
      <c r="E553" s="6">
        <v>1.2074</v>
      </c>
      <c r="F553" s="6">
        <v>1.6735</v>
      </c>
      <c r="G553" s="6">
        <v>125.18</v>
      </c>
      <c r="H553" s="6">
        <v>36.825000000000003</v>
      </c>
      <c r="I553" s="6">
        <v>408.99</v>
      </c>
      <c r="J553" s="6">
        <v>163.69</v>
      </c>
      <c r="K553" s="6">
        <v>0.92589999999999995</v>
      </c>
      <c r="L553" s="6">
        <v>12.635999999999999</v>
      </c>
      <c r="M553" s="6">
        <v>3.4854000000000003E-2</v>
      </c>
      <c r="N553" s="6" t="s">
        <v>20</v>
      </c>
    </row>
    <row r="554" spans="1:14" ht="17" x14ac:dyDescent="0.35">
      <c r="A554" s="9">
        <v>124.31</v>
      </c>
      <c r="B554" s="11">
        <v>31.029</v>
      </c>
      <c r="C554" s="6">
        <v>6.6749999999999998</v>
      </c>
      <c r="D554" s="6">
        <v>0.14981</v>
      </c>
      <c r="E554" s="6">
        <v>1.2027000000000001</v>
      </c>
      <c r="F554" s="6">
        <v>1.6676</v>
      </c>
      <c r="G554" s="6">
        <v>125.13</v>
      </c>
      <c r="H554" s="6">
        <v>36.927999999999997</v>
      </c>
      <c r="I554" s="6">
        <v>417.34</v>
      </c>
      <c r="J554" s="6">
        <v>163.54</v>
      </c>
      <c r="K554" s="6">
        <v>0.92283999999999999</v>
      </c>
      <c r="L554" s="6">
        <v>12.667</v>
      </c>
      <c r="M554" s="6">
        <v>3.5116000000000001E-2</v>
      </c>
      <c r="N554" s="6" t="s">
        <v>20</v>
      </c>
    </row>
    <row r="555" spans="1:14" ht="17" x14ac:dyDescent="0.35">
      <c r="A555" s="9">
        <v>124.35</v>
      </c>
      <c r="B555" s="11">
        <v>31.085000000000001</v>
      </c>
      <c r="C555" s="6">
        <v>6.7061000000000002</v>
      </c>
      <c r="D555" s="6">
        <v>0.14912</v>
      </c>
      <c r="E555" s="6">
        <v>1.1980999999999999</v>
      </c>
      <c r="F555" s="6">
        <v>1.6616</v>
      </c>
      <c r="G555" s="6">
        <v>125.07</v>
      </c>
      <c r="H555" s="6">
        <v>37.033000000000001</v>
      </c>
      <c r="I555" s="6">
        <v>426.04</v>
      </c>
      <c r="J555" s="6">
        <v>163.4</v>
      </c>
      <c r="K555" s="6">
        <v>0.91974999999999996</v>
      </c>
      <c r="L555" s="6">
        <v>12.696999999999999</v>
      </c>
      <c r="M555" s="6">
        <v>3.5383999999999999E-2</v>
      </c>
      <c r="N555" s="6" t="s">
        <v>20</v>
      </c>
    </row>
    <row r="556" spans="1:14" ht="17" x14ac:dyDescent="0.35">
      <c r="A556" s="9">
        <v>124.39</v>
      </c>
      <c r="B556" s="11">
        <v>31.141999999999999</v>
      </c>
      <c r="C556" s="6">
        <v>6.7375999999999996</v>
      </c>
      <c r="D556" s="6">
        <v>0.14842</v>
      </c>
      <c r="E556" s="6">
        <v>1.1933</v>
      </c>
      <c r="F556" s="6">
        <v>1.6555</v>
      </c>
      <c r="G556" s="6">
        <v>125.02</v>
      </c>
      <c r="H556" s="6">
        <v>37.14</v>
      </c>
      <c r="I556" s="6">
        <v>435.09</v>
      </c>
      <c r="J556" s="6">
        <v>163.25</v>
      </c>
      <c r="K556" s="6">
        <v>0.91664000000000001</v>
      </c>
      <c r="L556" s="6">
        <v>12.728999999999999</v>
      </c>
      <c r="M556" s="6">
        <v>3.5659000000000003E-2</v>
      </c>
      <c r="N556" s="6" t="s">
        <v>20</v>
      </c>
    </row>
    <row r="557" spans="1:14" ht="17" x14ac:dyDescent="0.35">
      <c r="A557" s="9">
        <v>124.43</v>
      </c>
      <c r="B557" s="11">
        <v>31.198</v>
      </c>
      <c r="C557" s="6">
        <v>6.7694000000000001</v>
      </c>
      <c r="D557" s="6">
        <v>0.14771999999999999</v>
      </c>
      <c r="E557" s="6">
        <v>1.1884999999999999</v>
      </c>
      <c r="F557" s="6">
        <v>1.6494</v>
      </c>
      <c r="G557" s="6">
        <v>124.96</v>
      </c>
      <c r="H557" s="6">
        <v>37.249000000000002</v>
      </c>
      <c r="I557" s="6">
        <v>444.52</v>
      </c>
      <c r="J557" s="6">
        <v>163.09</v>
      </c>
      <c r="K557" s="6">
        <v>0.91349999999999998</v>
      </c>
      <c r="L557" s="6">
        <v>12.76</v>
      </c>
      <c r="M557" s="6">
        <v>3.5941000000000001E-2</v>
      </c>
      <c r="N557" s="6" t="s">
        <v>20</v>
      </c>
    </row>
    <row r="558" spans="1:14" ht="17" x14ac:dyDescent="0.35">
      <c r="A558" s="9">
        <v>124.46</v>
      </c>
      <c r="B558" s="11">
        <v>31.254000000000001</v>
      </c>
      <c r="C558" s="6">
        <v>6.8017000000000003</v>
      </c>
      <c r="D558" s="6">
        <v>0.14702000000000001</v>
      </c>
      <c r="E558" s="6">
        <v>1.1836</v>
      </c>
      <c r="F558" s="6">
        <v>1.6431</v>
      </c>
      <c r="G558" s="6">
        <v>124.9</v>
      </c>
      <c r="H558" s="6">
        <v>37.360999999999997</v>
      </c>
      <c r="I558" s="6">
        <v>454.37</v>
      </c>
      <c r="J558" s="6">
        <v>162.94</v>
      </c>
      <c r="K558" s="6">
        <v>0.91032000000000002</v>
      </c>
      <c r="L558" s="6">
        <v>12.792999999999999</v>
      </c>
      <c r="M558" s="6">
        <v>3.6230999999999999E-2</v>
      </c>
      <c r="N558" s="6" t="s">
        <v>20</v>
      </c>
    </row>
    <row r="559" spans="1:14" ht="17" x14ac:dyDescent="0.35">
      <c r="A559" s="9">
        <v>124.5</v>
      </c>
      <c r="B559" s="11">
        <v>31.311</v>
      </c>
      <c r="C559" s="6">
        <v>6.8343999999999996</v>
      </c>
      <c r="D559" s="6">
        <v>0.14632000000000001</v>
      </c>
      <c r="E559" s="6">
        <v>1.1787000000000001</v>
      </c>
      <c r="F559" s="6">
        <v>1.6368</v>
      </c>
      <c r="G559" s="6">
        <v>124.85</v>
      </c>
      <c r="H559" s="6">
        <v>37.473999999999997</v>
      </c>
      <c r="I559" s="6">
        <v>464.64</v>
      </c>
      <c r="J559" s="6">
        <v>162.78</v>
      </c>
      <c r="K559" s="6">
        <v>0.90712000000000004</v>
      </c>
      <c r="L559" s="6">
        <v>12.824999999999999</v>
      </c>
      <c r="M559" s="6">
        <v>3.6527999999999998E-2</v>
      </c>
      <c r="N559" s="6" t="s">
        <v>20</v>
      </c>
    </row>
    <row r="560" spans="1:14" ht="17" x14ac:dyDescent="0.35">
      <c r="A560" s="9">
        <v>124.54</v>
      </c>
      <c r="B560" s="11">
        <v>31.367000000000001</v>
      </c>
      <c r="C560" s="6">
        <v>6.8674999999999997</v>
      </c>
      <c r="D560" s="6">
        <v>0.14560999999999999</v>
      </c>
      <c r="E560" s="6">
        <v>1.1736</v>
      </c>
      <c r="F560" s="6">
        <v>1.6304000000000001</v>
      </c>
      <c r="G560" s="6">
        <v>124.79</v>
      </c>
      <c r="H560" s="6">
        <v>37.590000000000003</v>
      </c>
      <c r="I560" s="6">
        <v>475.38</v>
      </c>
      <c r="J560" s="6">
        <v>162.62</v>
      </c>
      <c r="K560" s="6">
        <v>0.90388000000000002</v>
      </c>
      <c r="L560" s="6">
        <v>12.858000000000001</v>
      </c>
      <c r="M560" s="6">
        <v>3.6832999999999998E-2</v>
      </c>
      <c r="N560" s="6" t="s">
        <v>20</v>
      </c>
    </row>
    <row r="561" spans="1:14" ht="17" x14ac:dyDescent="0.35">
      <c r="A561" s="9">
        <v>124.58</v>
      </c>
      <c r="B561" s="11">
        <v>31.422999999999998</v>
      </c>
      <c r="C561" s="6">
        <v>6.9010999999999996</v>
      </c>
      <c r="D561" s="6">
        <v>0.1449</v>
      </c>
      <c r="E561" s="6">
        <v>1.1685000000000001</v>
      </c>
      <c r="F561" s="6">
        <v>1.6238999999999999</v>
      </c>
      <c r="G561" s="6">
        <v>124.73</v>
      </c>
      <c r="H561" s="6">
        <v>37.707999999999998</v>
      </c>
      <c r="I561" s="6">
        <v>486.6</v>
      </c>
      <c r="J561" s="6">
        <v>162.44999999999999</v>
      </c>
      <c r="K561" s="6">
        <v>0.90061000000000002</v>
      </c>
      <c r="L561" s="6">
        <v>12.891999999999999</v>
      </c>
      <c r="M561" s="6">
        <v>3.7146999999999999E-2</v>
      </c>
      <c r="N561" s="6" t="s">
        <v>20</v>
      </c>
    </row>
    <row r="562" spans="1:14" ht="17" x14ac:dyDescent="0.35">
      <c r="A562" s="9">
        <v>124.61</v>
      </c>
      <c r="B562" s="11">
        <v>31.478999999999999</v>
      </c>
      <c r="C562" s="6">
        <v>6.9351000000000003</v>
      </c>
      <c r="D562" s="6">
        <v>0.14419000000000001</v>
      </c>
      <c r="E562" s="6">
        <v>1.1634</v>
      </c>
      <c r="F562" s="6">
        <v>1.6173</v>
      </c>
      <c r="G562" s="6">
        <v>124.67</v>
      </c>
      <c r="H562" s="6">
        <v>37.829000000000001</v>
      </c>
      <c r="I562" s="6">
        <v>498.36</v>
      </c>
      <c r="J562" s="6">
        <v>162.28</v>
      </c>
      <c r="K562" s="6">
        <v>0.89729999999999999</v>
      </c>
      <c r="L562" s="6">
        <v>12.927</v>
      </c>
      <c r="M562" s="6">
        <v>3.7470000000000003E-2</v>
      </c>
      <c r="N562" s="6" t="s">
        <v>20</v>
      </c>
    </row>
    <row r="563" spans="1:14" ht="17" x14ac:dyDescent="0.35">
      <c r="A563" s="9">
        <v>124.65</v>
      </c>
      <c r="B563" s="11">
        <v>31.536000000000001</v>
      </c>
      <c r="C563" s="6">
        <v>6.9695999999999998</v>
      </c>
      <c r="D563" s="6">
        <v>0.14348</v>
      </c>
      <c r="E563" s="6">
        <v>1.1580999999999999</v>
      </c>
      <c r="F563" s="6">
        <v>1.6106</v>
      </c>
      <c r="G563" s="6">
        <v>124.61</v>
      </c>
      <c r="H563" s="6">
        <v>37.953000000000003</v>
      </c>
      <c r="I563" s="6">
        <v>510.68</v>
      </c>
      <c r="J563" s="6">
        <v>162.11000000000001</v>
      </c>
      <c r="K563" s="6">
        <v>0.89395999999999998</v>
      </c>
      <c r="L563" s="6">
        <v>12.961</v>
      </c>
      <c r="M563" s="6">
        <v>3.7802000000000002E-2</v>
      </c>
      <c r="N563" s="6" t="s">
        <v>20</v>
      </c>
    </row>
    <row r="564" spans="1:14" ht="17" x14ac:dyDescent="0.35">
      <c r="A564" s="9">
        <v>124.69</v>
      </c>
      <c r="B564" s="11">
        <v>31.591999999999999</v>
      </c>
      <c r="C564" s="6">
        <v>7.0046999999999997</v>
      </c>
      <c r="D564" s="6">
        <v>0.14276</v>
      </c>
      <c r="E564" s="6">
        <v>1.1528</v>
      </c>
      <c r="F564" s="6">
        <v>1.6037999999999999</v>
      </c>
      <c r="G564" s="6">
        <v>124.55</v>
      </c>
      <c r="H564" s="6">
        <v>38.079000000000001</v>
      </c>
      <c r="I564" s="6">
        <v>523.61</v>
      </c>
      <c r="J564" s="6">
        <v>161.93</v>
      </c>
      <c r="K564" s="6">
        <v>0.89058000000000004</v>
      </c>
      <c r="L564" s="6">
        <v>12.997</v>
      </c>
      <c r="M564" s="6">
        <v>3.8143999999999997E-2</v>
      </c>
      <c r="N564" s="6" t="s">
        <v>20</v>
      </c>
    </row>
    <row r="565" spans="1:14" ht="17" x14ac:dyDescent="0.35">
      <c r="A565" s="9">
        <v>124.73</v>
      </c>
      <c r="B565" s="11">
        <v>31.648</v>
      </c>
      <c r="C565" s="6">
        <v>7.0401999999999996</v>
      </c>
      <c r="D565" s="6">
        <v>0.14204</v>
      </c>
      <c r="E565" s="6">
        <v>1.1474</v>
      </c>
      <c r="F565" s="6">
        <v>1.5969</v>
      </c>
      <c r="G565" s="6">
        <v>124.49</v>
      </c>
      <c r="H565" s="6">
        <v>38.207999999999998</v>
      </c>
      <c r="I565" s="6">
        <v>537.19000000000005</v>
      </c>
      <c r="J565" s="6">
        <v>161.75</v>
      </c>
      <c r="K565" s="6">
        <v>0.88715999999999995</v>
      </c>
      <c r="L565" s="6">
        <v>13.032999999999999</v>
      </c>
      <c r="M565" s="6">
        <v>3.8497000000000003E-2</v>
      </c>
      <c r="N565" s="6" t="s">
        <v>20</v>
      </c>
    </row>
    <row r="566" spans="1:14" ht="17" x14ac:dyDescent="0.35">
      <c r="A566" s="9">
        <v>124.76</v>
      </c>
      <c r="B566" s="11">
        <v>31.704999999999998</v>
      </c>
      <c r="C566" s="6">
        <v>7.0762999999999998</v>
      </c>
      <c r="D566" s="6">
        <v>0.14132</v>
      </c>
      <c r="E566" s="6">
        <v>1.1418999999999999</v>
      </c>
      <c r="F566" s="6">
        <v>1.5899000000000001</v>
      </c>
      <c r="G566" s="6">
        <v>124.42</v>
      </c>
      <c r="H566" s="6">
        <v>38.340000000000003</v>
      </c>
      <c r="I566" s="6">
        <v>551.47</v>
      </c>
      <c r="J566" s="6">
        <v>161.57</v>
      </c>
      <c r="K566" s="6">
        <v>0.88371</v>
      </c>
      <c r="L566" s="6">
        <v>13.07</v>
      </c>
      <c r="M566" s="6">
        <v>3.8861E-2</v>
      </c>
      <c r="N566" s="6" t="s">
        <v>20</v>
      </c>
    </row>
    <row r="567" spans="1:14" ht="17" x14ac:dyDescent="0.35">
      <c r="A567" s="9">
        <v>124.8</v>
      </c>
      <c r="B567" s="11">
        <v>31.760999999999999</v>
      </c>
      <c r="C567" s="6">
        <v>7.1130000000000004</v>
      </c>
      <c r="D567" s="6">
        <v>0.14058999999999999</v>
      </c>
      <c r="E567" s="6">
        <v>1.1363000000000001</v>
      </c>
      <c r="F567" s="6">
        <v>1.5828</v>
      </c>
      <c r="G567" s="6">
        <v>124.36</v>
      </c>
      <c r="H567" s="6">
        <v>38.475999999999999</v>
      </c>
      <c r="I567" s="6">
        <v>566.5</v>
      </c>
      <c r="J567" s="6">
        <v>161.38</v>
      </c>
      <c r="K567" s="6">
        <v>0.88021000000000005</v>
      </c>
      <c r="L567" s="6">
        <v>13.106999999999999</v>
      </c>
      <c r="M567" s="6">
        <v>3.9237000000000001E-2</v>
      </c>
      <c r="N567" s="6" t="s">
        <v>20</v>
      </c>
    </row>
    <row r="568" spans="1:14" ht="17" x14ac:dyDescent="0.35">
      <c r="A568" s="9">
        <v>124.84</v>
      </c>
      <c r="B568" s="11">
        <v>31.817</v>
      </c>
      <c r="C568" s="6">
        <v>7.1501999999999999</v>
      </c>
      <c r="D568" s="6">
        <v>0.13986000000000001</v>
      </c>
      <c r="E568" s="6">
        <v>1.1306</v>
      </c>
      <c r="F568" s="6">
        <v>1.5755999999999999</v>
      </c>
      <c r="G568" s="6">
        <v>124.3</v>
      </c>
      <c r="H568" s="6">
        <v>38.613999999999997</v>
      </c>
      <c r="I568" s="6">
        <v>582.36</v>
      </c>
      <c r="J568" s="6">
        <v>161.18</v>
      </c>
      <c r="K568" s="6">
        <v>0.87666999999999995</v>
      </c>
      <c r="L568" s="6">
        <v>13.146000000000001</v>
      </c>
      <c r="M568" s="6">
        <v>3.9625E-2</v>
      </c>
      <c r="N568" s="6" t="s">
        <v>20</v>
      </c>
    </row>
    <row r="569" spans="1:14" ht="17" x14ac:dyDescent="0.35">
      <c r="A569" s="9">
        <v>124.87</v>
      </c>
      <c r="B569" s="11">
        <v>31.873999999999999</v>
      </c>
      <c r="C569" s="6">
        <v>7.1879999999999997</v>
      </c>
      <c r="D569" s="6">
        <v>0.13911999999999999</v>
      </c>
      <c r="E569" s="6">
        <v>1.1248</v>
      </c>
      <c r="F569" s="6">
        <v>1.5682</v>
      </c>
      <c r="G569" s="6">
        <v>124.23</v>
      </c>
      <c r="H569" s="6">
        <v>38.756</v>
      </c>
      <c r="I569" s="6">
        <v>599.09</v>
      </c>
      <c r="J569" s="6">
        <v>160.99</v>
      </c>
      <c r="K569" s="6">
        <v>0.87309000000000003</v>
      </c>
      <c r="L569" s="6">
        <v>13.185</v>
      </c>
      <c r="M569" s="6">
        <v>4.0027E-2</v>
      </c>
      <c r="N569" s="6" t="s">
        <v>20</v>
      </c>
    </row>
    <row r="570" spans="1:14" ht="17" x14ac:dyDescent="0.35">
      <c r="A570" s="9">
        <v>124.91</v>
      </c>
      <c r="B570" s="11">
        <v>31.93</v>
      </c>
      <c r="C570" s="6">
        <v>7.2264999999999997</v>
      </c>
      <c r="D570" s="6">
        <v>0.13838</v>
      </c>
      <c r="E570" s="6">
        <v>1.1189</v>
      </c>
      <c r="F570" s="6">
        <v>1.5607</v>
      </c>
      <c r="G570" s="6">
        <v>124.16</v>
      </c>
      <c r="H570" s="6">
        <v>38.902000000000001</v>
      </c>
      <c r="I570" s="6">
        <v>616.79</v>
      </c>
      <c r="J570" s="6">
        <v>160.78</v>
      </c>
      <c r="K570" s="6">
        <v>0.86946000000000001</v>
      </c>
      <c r="L570" s="6">
        <v>13.224</v>
      </c>
      <c r="M570" s="6">
        <v>4.0443E-2</v>
      </c>
      <c r="N570" s="6" t="s">
        <v>20</v>
      </c>
    </row>
    <row r="571" spans="1:14" ht="17" x14ac:dyDescent="0.35">
      <c r="A571" s="9">
        <v>124.95</v>
      </c>
      <c r="B571" s="11">
        <v>31.986000000000001</v>
      </c>
      <c r="C571" s="6">
        <v>7.2656999999999998</v>
      </c>
      <c r="D571" s="6">
        <v>0.13763</v>
      </c>
      <c r="E571" s="6">
        <v>1.1129</v>
      </c>
      <c r="F571" s="6">
        <v>1.5530999999999999</v>
      </c>
      <c r="G571" s="6">
        <v>124.1</v>
      </c>
      <c r="H571" s="6">
        <v>39.052</v>
      </c>
      <c r="I571" s="6">
        <v>635.54</v>
      </c>
      <c r="J571" s="6">
        <v>160.57</v>
      </c>
      <c r="K571" s="6">
        <v>0.86577999999999999</v>
      </c>
      <c r="L571" s="6">
        <v>13.265000000000001</v>
      </c>
      <c r="M571" s="6">
        <v>4.0874000000000001E-2</v>
      </c>
      <c r="N571" s="6" t="s">
        <v>20</v>
      </c>
    </row>
    <row r="572" spans="1:14" ht="17" x14ac:dyDescent="0.35">
      <c r="A572" s="9">
        <v>124.98</v>
      </c>
      <c r="B572" s="11">
        <v>32.042000000000002</v>
      </c>
      <c r="C572" s="6">
        <v>7.3056000000000001</v>
      </c>
      <c r="D572" s="6">
        <v>0.13688</v>
      </c>
      <c r="E572" s="6">
        <v>1.1068</v>
      </c>
      <c r="F572" s="6">
        <v>1.5454000000000001</v>
      </c>
      <c r="G572" s="6">
        <v>124.03</v>
      </c>
      <c r="H572" s="6">
        <v>39.204999999999998</v>
      </c>
      <c r="I572" s="6">
        <v>655.42</v>
      </c>
      <c r="J572" s="6">
        <v>160.36000000000001</v>
      </c>
      <c r="K572" s="6">
        <v>0.86206000000000005</v>
      </c>
      <c r="L572" s="6">
        <v>13.305999999999999</v>
      </c>
      <c r="M572" s="6">
        <v>4.1320999999999997E-2</v>
      </c>
      <c r="N572" s="6" t="s">
        <v>20</v>
      </c>
    </row>
    <row r="573" spans="1:14" ht="17" x14ac:dyDescent="0.35">
      <c r="A573" s="9">
        <v>125.02</v>
      </c>
      <c r="B573" s="11">
        <v>32.098999999999997</v>
      </c>
      <c r="C573" s="6">
        <v>7.3461999999999996</v>
      </c>
      <c r="D573" s="6">
        <v>0.13613</v>
      </c>
      <c r="E573" s="6">
        <v>1.1005</v>
      </c>
      <c r="F573" s="6">
        <v>1.5375000000000001</v>
      </c>
      <c r="G573" s="6">
        <v>123.96</v>
      </c>
      <c r="H573" s="6">
        <v>39.363</v>
      </c>
      <c r="I573" s="6">
        <v>676.54</v>
      </c>
      <c r="J573" s="6">
        <v>160.13999999999999</v>
      </c>
      <c r="K573" s="6">
        <v>0.85828000000000004</v>
      </c>
      <c r="L573" s="6">
        <v>13.349</v>
      </c>
      <c r="M573" s="6">
        <v>4.1785000000000003E-2</v>
      </c>
      <c r="N573" s="6" t="s">
        <v>20</v>
      </c>
    </row>
    <row r="574" spans="1:14" ht="17" x14ac:dyDescent="0.35">
      <c r="A574" s="9">
        <v>125.06</v>
      </c>
      <c r="B574" s="11">
        <v>32.155000000000001</v>
      </c>
      <c r="C574" s="6">
        <v>7.3875000000000002</v>
      </c>
      <c r="D574" s="6">
        <v>0.13536000000000001</v>
      </c>
      <c r="E574" s="6">
        <v>1.0941000000000001</v>
      </c>
      <c r="F574" s="6">
        <v>1.5294000000000001</v>
      </c>
      <c r="G574" s="6">
        <v>123.89</v>
      </c>
      <c r="H574" s="6">
        <v>39.524999999999999</v>
      </c>
      <c r="I574" s="6">
        <v>699.03</v>
      </c>
      <c r="J574" s="6">
        <v>159.91</v>
      </c>
      <c r="K574" s="6">
        <v>0.85445000000000004</v>
      </c>
      <c r="L574" s="6">
        <v>13.391999999999999</v>
      </c>
      <c r="M574" s="6">
        <v>4.2268E-2</v>
      </c>
      <c r="N574" s="6" t="s">
        <v>20</v>
      </c>
    </row>
    <row r="575" spans="1:14" ht="17" x14ac:dyDescent="0.35">
      <c r="A575" s="9">
        <v>125.09</v>
      </c>
      <c r="B575" s="11">
        <v>32.210999999999999</v>
      </c>
      <c r="C575" s="6">
        <v>7.4297000000000004</v>
      </c>
      <c r="D575" s="6">
        <v>0.13458999999999999</v>
      </c>
      <c r="E575" s="6">
        <v>1.0875999999999999</v>
      </c>
      <c r="F575" s="6">
        <v>1.5212000000000001</v>
      </c>
      <c r="G575" s="6">
        <v>123.82</v>
      </c>
      <c r="H575" s="6">
        <v>39.692</v>
      </c>
      <c r="I575" s="6">
        <v>723.01</v>
      </c>
      <c r="J575" s="6">
        <v>159.66999999999999</v>
      </c>
      <c r="K575" s="6">
        <v>0.85055999999999998</v>
      </c>
      <c r="L575" s="6">
        <v>13.436</v>
      </c>
      <c r="M575" s="6">
        <v>4.2771000000000003E-2</v>
      </c>
      <c r="N575" s="6" t="s">
        <v>20</v>
      </c>
    </row>
    <row r="576" spans="1:14" ht="17" x14ac:dyDescent="0.35">
      <c r="A576" s="9">
        <v>125.13</v>
      </c>
      <c r="B576" s="11">
        <v>32.268000000000001</v>
      </c>
      <c r="C576" s="6">
        <v>7.4726999999999997</v>
      </c>
      <c r="D576" s="6">
        <v>0.13381999999999999</v>
      </c>
      <c r="E576" s="6">
        <v>1.081</v>
      </c>
      <c r="F576" s="6">
        <v>1.5127999999999999</v>
      </c>
      <c r="G576" s="6">
        <v>123.75</v>
      </c>
      <c r="H576" s="6">
        <v>39.863999999999997</v>
      </c>
      <c r="I576" s="6">
        <v>748.65</v>
      </c>
      <c r="J576" s="6">
        <v>159.43</v>
      </c>
      <c r="K576" s="6">
        <v>0.84662000000000004</v>
      </c>
      <c r="L576" s="6">
        <v>13.481999999999999</v>
      </c>
      <c r="M576" s="6">
        <v>4.3295E-2</v>
      </c>
      <c r="N576" s="6" t="s">
        <v>20</v>
      </c>
    </row>
    <row r="577" spans="1:14" ht="17" x14ac:dyDescent="0.35">
      <c r="A577" s="9">
        <v>125.17</v>
      </c>
      <c r="B577" s="11">
        <v>32.323999999999998</v>
      </c>
      <c r="C577" s="6">
        <v>7.5167000000000002</v>
      </c>
      <c r="D577" s="6">
        <v>0.13303999999999999</v>
      </c>
      <c r="E577" s="6">
        <v>1.0742</v>
      </c>
      <c r="F577" s="6">
        <v>1.5043</v>
      </c>
      <c r="G577" s="6">
        <v>123.67</v>
      </c>
      <c r="H577" s="6">
        <v>40.042000000000002</v>
      </c>
      <c r="I577" s="6">
        <v>776.11</v>
      </c>
      <c r="J577" s="6">
        <v>159.18</v>
      </c>
      <c r="K577" s="6">
        <v>0.84260999999999997</v>
      </c>
      <c r="L577" s="6">
        <v>13.528</v>
      </c>
      <c r="M577" s="6">
        <v>4.3843E-2</v>
      </c>
      <c r="N577" s="6" t="s">
        <v>20</v>
      </c>
    </row>
    <row r="578" spans="1:14" ht="17" x14ac:dyDescent="0.35">
      <c r="A578" s="9">
        <v>125.2</v>
      </c>
      <c r="B578" s="11">
        <v>32.380000000000003</v>
      </c>
      <c r="C578" s="6">
        <v>7.5616000000000003</v>
      </c>
      <c r="D578" s="6">
        <v>0.13225000000000001</v>
      </c>
      <c r="E578" s="6">
        <v>1.0672999999999999</v>
      </c>
      <c r="F578" s="6">
        <v>1.4955000000000001</v>
      </c>
      <c r="G578" s="6">
        <v>123.59</v>
      </c>
      <c r="H578" s="6">
        <v>40.223999999999997</v>
      </c>
      <c r="I578" s="6">
        <v>805.6</v>
      </c>
      <c r="J578" s="6">
        <v>158.93</v>
      </c>
      <c r="K578" s="6">
        <v>0.83853999999999995</v>
      </c>
      <c r="L578" s="6">
        <v>13.576000000000001</v>
      </c>
      <c r="M578" s="6">
        <v>4.4415000000000003E-2</v>
      </c>
      <c r="N578" s="6" t="s">
        <v>20</v>
      </c>
    </row>
    <row r="579" spans="1:14" ht="17" x14ac:dyDescent="0.35">
      <c r="A579" s="9">
        <v>125.24</v>
      </c>
      <c r="B579" s="11">
        <v>32.436</v>
      </c>
      <c r="C579" s="6">
        <v>7.6074000000000002</v>
      </c>
      <c r="D579" s="6">
        <v>0.13145000000000001</v>
      </c>
      <c r="E579" s="6">
        <v>1.0602</v>
      </c>
      <c r="F579" s="6">
        <v>1.4865999999999999</v>
      </c>
      <c r="G579" s="6">
        <v>123.52</v>
      </c>
      <c r="H579" s="6">
        <v>40.412999999999997</v>
      </c>
      <c r="I579" s="6">
        <v>837.33</v>
      </c>
      <c r="J579" s="6">
        <v>158.66</v>
      </c>
      <c r="K579" s="6">
        <v>0.83440000000000003</v>
      </c>
      <c r="L579" s="6">
        <v>13.625</v>
      </c>
      <c r="M579" s="6">
        <v>4.5014999999999999E-2</v>
      </c>
      <c r="N579" s="6" t="s">
        <v>20</v>
      </c>
    </row>
    <row r="580" spans="1:14" ht="17" x14ac:dyDescent="0.35">
      <c r="A580" s="9">
        <v>125.27</v>
      </c>
      <c r="B580" s="11">
        <v>32.493000000000002</v>
      </c>
      <c r="C580" s="6">
        <v>7.6543999999999999</v>
      </c>
      <c r="D580" s="6">
        <v>0.13064000000000001</v>
      </c>
      <c r="E580" s="6">
        <v>1.0528999999999999</v>
      </c>
      <c r="F580" s="6">
        <v>1.4774</v>
      </c>
      <c r="G580" s="6">
        <v>123.44</v>
      </c>
      <c r="H580" s="6">
        <v>40.607999999999997</v>
      </c>
      <c r="I580" s="6">
        <v>871.59</v>
      </c>
      <c r="J580" s="6">
        <v>158.38999999999999</v>
      </c>
      <c r="K580" s="6">
        <v>0.83018999999999998</v>
      </c>
      <c r="L580" s="6">
        <v>13.675000000000001</v>
      </c>
      <c r="M580" s="6">
        <v>4.5644999999999998E-2</v>
      </c>
      <c r="N580" s="6" t="s">
        <v>20</v>
      </c>
    </row>
    <row r="581" spans="1:14" ht="17" x14ac:dyDescent="0.35">
      <c r="A581" s="9">
        <v>125.31</v>
      </c>
      <c r="B581" s="11">
        <v>32.548999999999999</v>
      </c>
      <c r="C581" s="6">
        <v>7.7024999999999997</v>
      </c>
      <c r="D581" s="6">
        <v>0.12983</v>
      </c>
      <c r="E581" s="6">
        <v>1.0455000000000001</v>
      </c>
      <c r="F581" s="6">
        <v>1.468</v>
      </c>
      <c r="G581" s="6">
        <v>123.36</v>
      </c>
      <c r="H581" s="6">
        <v>40.81</v>
      </c>
      <c r="I581" s="6">
        <v>908.68</v>
      </c>
      <c r="J581" s="6">
        <v>158.1</v>
      </c>
      <c r="K581" s="6">
        <v>0.82589999999999997</v>
      </c>
      <c r="L581" s="6">
        <v>13.727</v>
      </c>
      <c r="M581" s="6">
        <v>4.6307000000000001E-2</v>
      </c>
      <c r="N581" s="6" t="s">
        <v>20</v>
      </c>
    </row>
    <row r="582" spans="1:14" ht="17" x14ac:dyDescent="0.35">
      <c r="A582" s="9">
        <v>125.35</v>
      </c>
      <c r="B582" s="11">
        <v>32.604999999999997</v>
      </c>
      <c r="C582" s="6">
        <v>7.7518000000000002</v>
      </c>
      <c r="D582" s="6">
        <v>0.129</v>
      </c>
      <c r="E582" s="6">
        <v>1.0378000000000001</v>
      </c>
      <c r="F582" s="6">
        <v>1.4583999999999999</v>
      </c>
      <c r="G582" s="6">
        <v>123.28</v>
      </c>
      <c r="H582" s="6">
        <v>41.018999999999998</v>
      </c>
      <c r="I582" s="6">
        <v>948.96</v>
      </c>
      <c r="J582" s="6">
        <v>157.81</v>
      </c>
      <c r="K582" s="6">
        <v>0.82152999999999998</v>
      </c>
      <c r="L582" s="6">
        <v>13.78</v>
      </c>
      <c r="M582" s="6">
        <v>4.7004999999999998E-2</v>
      </c>
      <c r="N582" s="6" t="s">
        <v>20</v>
      </c>
    </row>
    <row r="583" spans="1:14" ht="17" x14ac:dyDescent="0.35">
      <c r="A583" s="9">
        <v>125.38</v>
      </c>
      <c r="B583" s="11">
        <v>32.661999999999999</v>
      </c>
      <c r="C583" s="6">
        <v>7.8023999999999996</v>
      </c>
      <c r="D583" s="6">
        <v>0.12817000000000001</v>
      </c>
      <c r="E583" s="6">
        <v>1.03</v>
      </c>
      <c r="F583" s="6">
        <v>1.4486000000000001</v>
      </c>
      <c r="G583" s="6">
        <v>123.19</v>
      </c>
      <c r="H583" s="6">
        <v>41.235999999999997</v>
      </c>
      <c r="I583" s="6">
        <v>992.85</v>
      </c>
      <c r="J583" s="6">
        <v>157.5</v>
      </c>
      <c r="K583" s="6">
        <v>0.81708000000000003</v>
      </c>
      <c r="L583" s="6">
        <v>13.835000000000001</v>
      </c>
      <c r="M583" s="6">
        <v>4.7742E-2</v>
      </c>
      <c r="N583" s="6" t="s">
        <v>20</v>
      </c>
    </row>
    <row r="584" spans="1:14" ht="17" x14ac:dyDescent="0.35">
      <c r="A584" s="9">
        <v>125.42</v>
      </c>
      <c r="B584" s="11">
        <v>32.718000000000004</v>
      </c>
      <c r="C584" s="6">
        <v>7.8544</v>
      </c>
      <c r="D584" s="6">
        <v>0.12731999999999999</v>
      </c>
      <c r="E584" s="6">
        <v>1.0219</v>
      </c>
      <c r="F584" s="6">
        <v>1.4383999999999999</v>
      </c>
      <c r="G584" s="6">
        <v>123.1</v>
      </c>
      <c r="H584" s="6">
        <v>41.460999999999999</v>
      </c>
      <c r="I584" s="6">
        <v>1040.9000000000001</v>
      </c>
      <c r="J584" s="6">
        <v>157.18</v>
      </c>
      <c r="K584" s="6">
        <v>0.81252999999999997</v>
      </c>
      <c r="L584" s="6">
        <v>13.891999999999999</v>
      </c>
      <c r="M584" s="6">
        <v>4.8522000000000003E-2</v>
      </c>
      <c r="N584" s="6" t="s">
        <v>20</v>
      </c>
    </row>
    <row r="585" spans="1:14" ht="17" x14ac:dyDescent="0.35">
      <c r="A585" s="9">
        <v>125.45</v>
      </c>
      <c r="B585" s="11">
        <v>32.774000000000001</v>
      </c>
      <c r="C585" s="6">
        <v>7.9078999999999997</v>
      </c>
      <c r="D585" s="6">
        <v>0.12645999999999999</v>
      </c>
      <c r="E585" s="6">
        <v>1.0136000000000001</v>
      </c>
      <c r="F585" s="6">
        <v>1.4279999999999999</v>
      </c>
      <c r="G585" s="6">
        <v>123.02</v>
      </c>
      <c r="H585" s="6">
        <v>41.695</v>
      </c>
      <c r="I585" s="6">
        <v>1093.5999999999999</v>
      </c>
      <c r="J585" s="6">
        <v>156.85</v>
      </c>
      <c r="K585" s="6">
        <v>0.80789</v>
      </c>
      <c r="L585" s="6">
        <v>13.951000000000001</v>
      </c>
      <c r="M585" s="6">
        <v>4.9350999999999999E-2</v>
      </c>
      <c r="N585" s="6" t="s">
        <v>20</v>
      </c>
    </row>
    <row r="586" spans="1:14" ht="17" x14ac:dyDescent="0.35">
      <c r="A586" s="9">
        <v>125.49</v>
      </c>
      <c r="B586" s="11">
        <v>32.83</v>
      </c>
      <c r="C586" s="6">
        <v>7.9630000000000001</v>
      </c>
      <c r="D586" s="6">
        <v>0.12558</v>
      </c>
      <c r="E586" s="6">
        <v>1.0049999999999999</v>
      </c>
      <c r="F586" s="6">
        <v>1.4173</v>
      </c>
      <c r="G586" s="6">
        <v>122.92</v>
      </c>
      <c r="H586" s="6">
        <v>41.938000000000002</v>
      </c>
      <c r="I586" s="6">
        <v>1151.8</v>
      </c>
      <c r="J586" s="6">
        <v>156.5</v>
      </c>
      <c r="K586" s="6">
        <v>0.80315000000000003</v>
      </c>
      <c r="L586" s="6">
        <v>14.010999999999999</v>
      </c>
      <c r="M586" s="6">
        <v>5.0234000000000001E-2</v>
      </c>
      <c r="N586" s="6" t="s">
        <v>20</v>
      </c>
    </row>
    <row r="587" spans="1:14" ht="17" x14ac:dyDescent="0.35">
      <c r="A587" s="9">
        <v>125.52</v>
      </c>
      <c r="B587" s="11">
        <v>32.887</v>
      </c>
      <c r="C587" s="6">
        <v>8.0198999999999998</v>
      </c>
      <c r="D587" s="6">
        <v>0.12469</v>
      </c>
      <c r="E587" s="6">
        <v>0.99614000000000003</v>
      </c>
      <c r="F587" s="6">
        <v>1.4061999999999999</v>
      </c>
      <c r="G587" s="6">
        <v>122.83</v>
      </c>
      <c r="H587" s="6">
        <v>42.192</v>
      </c>
      <c r="I587" s="6">
        <v>1216.3</v>
      </c>
      <c r="J587" s="6">
        <v>156.13999999999999</v>
      </c>
      <c r="K587" s="6">
        <v>0.79830000000000001</v>
      </c>
      <c r="L587" s="6">
        <v>14.074</v>
      </c>
      <c r="M587" s="6">
        <v>5.1178000000000001E-2</v>
      </c>
      <c r="N587" s="6" t="s">
        <v>20</v>
      </c>
    </row>
    <row r="588" spans="1:14" ht="17" x14ac:dyDescent="0.35">
      <c r="A588" s="9">
        <v>125.56</v>
      </c>
      <c r="B588" s="11">
        <v>32.942999999999998</v>
      </c>
      <c r="C588" s="6">
        <v>8.0786999999999995</v>
      </c>
      <c r="D588" s="6">
        <v>0.12378</v>
      </c>
      <c r="E588" s="6">
        <v>0.98697999999999997</v>
      </c>
      <c r="F588" s="6">
        <v>1.3948</v>
      </c>
      <c r="G588" s="6">
        <v>122.73</v>
      </c>
      <c r="H588" s="6">
        <v>42.457999999999998</v>
      </c>
      <c r="I588" s="6">
        <v>1288.2</v>
      </c>
      <c r="J588" s="6">
        <v>155.76</v>
      </c>
      <c r="K588" s="6">
        <v>0.79332999999999998</v>
      </c>
      <c r="L588" s="6">
        <v>14.14</v>
      </c>
      <c r="M588" s="6">
        <v>5.219E-2</v>
      </c>
      <c r="N588" s="6" t="s">
        <v>20</v>
      </c>
    </row>
    <row r="589" spans="1:14" ht="17" x14ac:dyDescent="0.35">
      <c r="A589" s="9">
        <v>125.6</v>
      </c>
      <c r="B589" s="11">
        <v>32.999000000000002</v>
      </c>
      <c r="C589" s="6">
        <v>8.1395</v>
      </c>
      <c r="D589" s="6">
        <v>0.12286</v>
      </c>
      <c r="E589" s="6">
        <v>0.97748999999999997</v>
      </c>
      <c r="F589" s="6">
        <v>1.3829</v>
      </c>
      <c r="G589" s="6">
        <v>122.63</v>
      </c>
      <c r="H589" s="6">
        <v>42.734999999999999</v>
      </c>
      <c r="I589" s="6">
        <v>1368.8</v>
      </c>
      <c r="J589" s="6">
        <v>155.37</v>
      </c>
      <c r="K589" s="6">
        <v>0.78822000000000003</v>
      </c>
      <c r="L589" s="6">
        <v>14.208</v>
      </c>
      <c r="M589" s="6">
        <v>5.3280000000000001E-2</v>
      </c>
      <c r="N589" s="6" t="s">
        <v>20</v>
      </c>
    </row>
    <row r="590" spans="1:14" ht="17" x14ac:dyDescent="0.35">
      <c r="A590" s="9">
        <v>125.63</v>
      </c>
      <c r="B590" s="11">
        <v>33.055999999999997</v>
      </c>
      <c r="C590" s="6">
        <v>8.2026000000000003</v>
      </c>
      <c r="D590" s="6">
        <v>0.12191</v>
      </c>
      <c r="E590" s="6">
        <v>0.96762999999999999</v>
      </c>
      <c r="F590" s="6">
        <v>1.3706</v>
      </c>
      <c r="G590" s="6">
        <v>122.53</v>
      </c>
      <c r="H590" s="6">
        <v>43.026000000000003</v>
      </c>
      <c r="I590" s="6">
        <v>1459.8</v>
      </c>
      <c r="J590" s="6">
        <v>154.94999999999999</v>
      </c>
      <c r="K590" s="6">
        <v>0.78298000000000001</v>
      </c>
      <c r="L590" s="6">
        <v>14.279</v>
      </c>
      <c r="M590" s="6">
        <v>5.4460000000000001E-2</v>
      </c>
      <c r="N590" s="6" t="s">
        <v>20</v>
      </c>
    </row>
    <row r="591" spans="1:14" ht="17" x14ac:dyDescent="0.35">
      <c r="A591" s="9">
        <v>125.67</v>
      </c>
      <c r="B591" s="11">
        <v>33.112000000000002</v>
      </c>
      <c r="C591" s="6">
        <v>8.2683</v>
      </c>
      <c r="D591" s="6">
        <v>0.12094000000000001</v>
      </c>
      <c r="E591" s="6">
        <v>0.95737000000000005</v>
      </c>
      <c r="F591" s="6">
        <v>1.3577999999999999</v>
      </c>
      <c r="G591" s="6">
        <v>122.42</v>
      </c>
      <c r="H591" s="6">
        <v>43.332000000000001</v>
      </c>
      <c r="I591" s="6">
        <v>1563.4</v>
      </c>
      <c r="J591" s="6">
        <v>154.51</v>
      </c>
      <c r="K591" s="6">
        <v>0.77759</v>
      </c>
      <c r="L591" s="6">
        <v>14.353999999999999</v>
      </c>
      <c r="M591" s="6">
        <v>5.5744000000000002E-2</v>
      </c>
      <c r="N591" s="6" t="s">
        <v>20</v>
      </c>
    </row>
    <row r="592" spans="1:14" ht="17" x14ac:dyDescent="0.35">
      <c r="A592" s="9">
        <v>125.7</v>
      </c>
      <c r="B592" s="11">
        <v>33.167999999999999</v>
      </c>
      <c r="C592" s="6">
        <v>8.3368000000000002</v>
      </c>
      <c r="D592" s="6">
        <v>0.11995</v>
      </c>
      <c r="E592" s="6">
        <v>0.94667000000000001</v>
      </c>
      <c r="F592" s="6">
        <v>1.3445</v>
      </c>
      <c r="G592" s="6">
        <v>122.31</v>
      </c>
      <c r="H592" s="6">
        <v>43.654000000000003</v>
      </c>
      <c r="I592" s="6">
        <v>1682.3</v>
      </c>
      <c r="J592" s="6">
        <v>154.04</v>
      </c>
      <c r="K592" s="6">
        <v>0.77202999999999999</v>
      </c>
      <c r="L592" s="6">
        <v>14.432</v>
      </c>
      <c r="M592" s="6">
        <v>5.7148999999999998E-2</v>
      </c>
      <c r="N592" s="6" t="s">
        <v>20</v>
      </c>
    </row>
    <row r="593" spans="1:14" ht="17" x14ac:dyDescent="0.35">
      <c r="A593" s="9">
        <v>125.74</v>
      </c>
      <c r="B593" s="11">
        <v>33.225000000000001</v>
      </c>
      <c r="C593" s="6">
        <v>8.4084000000000003</v>
      </c>
      <c r="D593" s="6">
        <v>0.11892999999999999</v>
      </c>
      <c r="E593" s="6">
        <v>0.93547000000000002</v>
      </c>
      <c r="F593" s="6">
        <v>1.3306</v>
      </c>
      <c r="G593" s="6">
        <v>122.2</v>
      </c>
      <c r="H593" s="6">
        <v>43.994999999999997</v>
      </c>
      <c r="I593" s="6">
        <v>1820</v>
      </c>
      <c r="J593" s="6">
        <v>153.55000000000001</v>
      </c>
      <c r="K593" s="6">
        <v>0.76627999999999996</v>
      </c>
      <c r="L593" s="6">
        <v>14.515000000000001</v>
      </c>
      <c r="M593" s="6">
        <v>5.8696999999999999E-2</v>
      </c>
      <c r="N593" s="6" t="s">
        <v>20</v>
      </c>
    </row>
    <row r="594" spans="1:14" ht="17" x14ac:dyDescent="0.35">
      <c r="A594" s="9">
        <v>125.77</v>
      </c>
      <c r="B594" s="11">
        <v>33.280999999999999</v>
      </c>
      <c r="C594" s="6">
        <v>8.4837000000000007</v>
      </c>
      <c r="D594" s="6">
        <v>0.11787</v>
      </c>
      <c r="E594" s="6">
        <v>0.92369999999999997</v>
      </c>
      <c r="F594" s="6">
        <v>1.3160000000000001</v>
      </c>
      <c r="G594" s="6">
        <v>122.07</v>
      </c>
      <c r="H594" s="6">
        <v>44.356000000000002</v>
      </c>
      <c r="I594" s="6">
        <v>1981.5</v>
      </c>
      <c r="J594" s="6">
        <v>153.02000000000001</v>
      </c>
      <c r="K594" s="6">
        <v>0.76032</v>
      </c>
      <c r="L594" s="6">
        <v>14.602</v>
      </c>
      <c r="M594" s="6">
        <v>6.0415999999999997E-2</v>
      </c>
      <c r="N594" s="6" t="s">
        <v>20</v>
      </c>
    </row>
    <row r="595" spans="1:14" ht="17" x14ac:dyDescent="0.35">
      <c r="A595" s="9">
        <v>125.81</v>
      </c>
      <c r="B595" s="11">
        <v>33.337000000000003</v>
      </c>
      <c r="C595" s="6">
        <v>8.5630000000000006</v>
      </c>
      <c r="D595" s="6">
        <v>0.11677999999999999</v>
      </c>
      <c r="E595" s="6">
        <v>0.91129000000000004</v>
      </c>
      <c r="F595" s="6">
        <v>1.3006</v>
      </c>
      <c r="G595" s="6">
        <v>121.95</v>
      </c>
      <c r="H595" s="6">
        <v>44.738999999999997</v>
      </c>
      <c r="I595" s="6">
        <v>2173.4</v>
      </c>
      <c r="J595" s="6">
        <v>152.46</v>
      </c>
      <c r="K595" s="6">
        <v>0.75412999999999997</v>
      </c>
      <c r="L595" s="6">
        <v>14.695</v>
      </c>
      <c r="M595" s="6">
        <v>6.2343999999999997E-2</v>
      </c>
      <c r="N595" s="6" t="s">
        <v>20</v>
      </c>
    </row>
    <row r="596" spans="1:14" ht="17" x14ac:dyDescent="0.35">
      <c r="A596" s="9">
        <v>125.84</v>
      </c>
      <c r="B596" s="11">
        <v>33.393000000000001</v>
      </c>
      <c r="C596" s="6">
        <v>8.6470000000000002</v>
      </c>
      <c r="D596" s="6">
        <v>0.11565</v>
      </c>
      <c r="E596" s="6">
        <v>0.89814000000000005</v>
      </c>
      <c r="F596" s="6">
        <v>1.2843</v>
      </c>
      <c r="G596" s="6">
        <v>121.81</v>
      </c>
      <c r="H596" s="6">
        <v>45.15</v>
      </c>
      <c r="I596" s="6">
        <v>2405</v>
      </c>
      <c r="J596" s="6">
        <v>151.86000000000001</v>
      </c>
      <c r="K596" s="6">
        <v>0.74766999999999995</v>
      </c>
      <c r="L596" s="6">
        <v>14.794</v>
      </c>
      <c r="M596" s="6">
        <v>6.4529000000000003E-2</v>
      </c>
      <c r="N596" s="6" t="s">
        <v>20</v>
      </c>
    </row>
    <row r="597" spans="1:14" ht="17" x14ac:dyDescent="0.35">
      <c r="A597" s="9">
        <v>125.88</v>
      </c>
      <c r="B597" s="11">
        <v>33.450000000000003</v>
      </c>
      <c r="C597" s="6">
        <v>8.7365999999999993</v>
      </c>
      <c r="D597" s="6">
        <v>0.11446000000000001</v>
      </c>
      <c r="E597" s="6">
        <v>0.88410999999999995</v>
      </c>
      <c r="F597" s="6">
        <v>1.2669999999999999</v>
      </c>
      <c r="G597" s="6">
        <v>121.67</v>
      </c>
      <c r="H597" s="6">
        <v>45.59</v>
      </c>
      <c r="I597" s="6">
        <v>2690</v>
      </c>
      <c r="J597" s="6">
        <v>151.19999999999999</v>
      </c>
      <c r="K597" s="6">
        <v>0.7409</v>
      </c>
      <c r="L597" s="6">
        <v>14.901</v>
      </c>
      <c r="M597" s="6">
        <v>6.7039000000000001E-2</v>
      </c>
      <c r="N597" s="6" t="s">
        <v>20</v>
      </c>
    </row>
    <row r="598" spans="1:14" ht="17" x14ac:dyDescent="0.35">
      <c r="A598" s="9">
        <v>125.91</v>
      </c>
      <c r="B598" s="11">
        <v>33.506</v>
      </c>
      <c r="C598" s="6">
        <v>8.8329000000000004</v>
      </c>
      <c r="D598" s="6">
        <v>0.11321000000000001</v>
      </c>
      <c r="E598" s="6">
        <v>0.86904999999999999</v>
      </c>
      <c r="F598" s="6">
        <v>1.2484</v>
      </c>
      <c r="G598" s="6">
        <v>121.52</v>
      </c>
      <c r="H598" s="6">
        <v>46.066000000000003</v>
      </c>
      <c r="I598" s="6">
        <v>3048.8</v>
      </c>
      <c r="J598" s="6">
        <v>150.49</v>
      </c>
      <c r="K598" s="6">
        <v>0.73377000000000003</v>
      </c>
      <c r="L598" s="6">
        <v>15.016</v>
      </c>
      <c r="M598" s="6">
        <v>6.9970000000000004E-2</v>
      </c>
      <c r="N598" s="6" t="s">
        <v>20</v>
      </c>
    </row>
    <row r="599" spans="1:14" ht="17" x14ac:dyDescent="0.35">
      <c r="A599" s="9">
        <v>125.95</v>
      </c>
      <c r="B599" s="11">
        <v>33.561999999999998</v>
      </c>
      <c r="C599" s="6">
        <v>8.9372000000000007</v>
      </c>
      <c r="D599" s="6">
        <v>0.11189</v>
      </c>
      <c r="E599" s="6">
        <v>0.85272999999999999</v>
      </c>
      <c r="F599" s="6">
        <v>1.2282999999999999</v>
      </c>
      <c r="G599" s="6">
        <v>121.35</v>
      </c>
      <c r="H599" s="6">
        <v>46.582999999999998</v>
      </c>
      <c r="I599" s="6">
        <v>3514.1</v>
      </c>
      <c r="J599" s="6">
        <v>149.71</v>
      </c>
      <c r="K599" s="6">
        <v>0.72619999999999996</v>
      </c>
      <c r="L599" s="6">
        <v>15.143000000000001</v>
      </c>
      <c r="M599" s="6">
        <v>7.3465000000000003E-2</v>
      </c>
      <c r="N599" s="6" t="s">
        <v>20</v>
      </c>
    </row>
    <row r="600" spans="1:14" ht="17" x14ac:dyDescent="0.35">
      <c r="A600" s="9">
        <v>125.98</v>
      </c>
      <c r="B600" s="11">
        <v>33.619</v>
      </c>
      <c r="C600" s="6">
        <v>9.0518000000000001</v>
      </c>
      <c r="D600" s="6">
        <v>0.11047999999999999</v>
      </c>
      <c r="E600" s="6">
        <v>0.83482000000000001</v>
      </c>
      <c r="F600" s="6">
        <v>1.2061999999999999</v>
      </c>
      <c r="G600" s="6">
        <v>121.17</v>
      </c>
      <c r="H600" s="6">
        <v>47.151000000000003</v>
      </c>
      <c r="I600" s="6">
        <v>4140.6000000000004</v>
      </c>
      <c r="J600" s="6">
        <v>148.84</v>
      </c>
      <c r="K600" s="6">
        <v>0.71811000000000003</v>
      </c>
      <c r="L600" s="6">
        <v>15.284000000000001</v>
      </c>
      <c r="M600" s="6">
        <v>7.7744999999999995E-2</v>
      </c>
      <c r="N600" s="6" t="s">
        <v>20</v>
      </c>
    </row>
    <row r="601" spans="1:14" ht="17" x14ac:dyDescent="0.35">
      <c r="A601" s="9">
        <v>126.02</v>
      </c>
      <c r="B601" s="11">
        <v>33.674999999999997</v>
      </c>
      <c r="C601" s="6">
        <v>9.1796000000000006</v>
      </c>
      <c r="D601" s="6">
        <v>0.10894</v>
      </c>
      <c r="E601" s="6">
        <v>0.81486000000000003</v>
      </c>
      <c r="F601" s="6">
        <v>1.1817</v>
      </c>
      <c r="G601" s="6">
        <v>120.97</v>
      </c>
      <c r="H601" s="6">
        <v>47.783000000000001</v>
      </c>
      <c r="I601" s="6">
        <v>5028.3</v>
      </c>
      <c r="J601" s="6">
        <v>147.85</v>
      </c>
      <c r="K601" s="6">
        <v>0.70933000000000002</v>
      </c>
      <c r="L601" s="6">
        <v>15.444000000000001</v>
      </c>
      <c r="M601" s="6">
        <v>8.3179000000000003E-2</v>
      </c>
      <c r="N601" s="6" t="s">
        <v>20</v>
      </c>
    </row>
    <row r="602" spans="1:14" ht="17" x14ac:dyDescent="0.35">
      <c r="A602" s="9">
        <v>126.05</v>
      </c>
      <c r="B602" s="11">
        <v>33.731000000000002</v>
      </c>
      <c r="C602" s="6">
        <v>9.3255999999999997</v>
      </c>
      <c r="D602" s="6">
        <v>0.10723000000000001</v>
      </c>
      <c r="E602" s="6">
        <v>0.79210999999999998</v>
      </c>
      <c r="F602" s="6">
        <v>1.1537999999999999</v>
      </c>
      <c r="G602" s="6">
        <v>120.75</v>
      </c>
      <c r="H602" s="6">
        <v>48.494999999999997</v>
      </c>
      <c r="I602" s="6">
        <v>6379.6</v>
      </c>
      <c r="J602" s="6">
        <v>146.72</v>
      </c>
      <c r="K602" s="6">
        <v>0.69965999999999995</v>
      </c>
      <c r="L602" s="6">
        <v>15.629</v>
      </c>
      <c r="M602" s="6">
        <v>9.0441999999999995E-2</v>
      </c>
      <c r="N602" s="6" t="s">
        <v>20</v>
      </c>
    </row>
    <row r="603" spans="1:14" ht="17" x14ac:dyDescent="0.35">
      <c r="A603" s="9">
        <v>126.09</v>
      </c>
      <c r="B603" s="11">
        <v>33.786999999999999</v>
      </c>
      <c r="C603" s="6">
        <v>9.4984999999999999</v>
      </c>
      <c r="D603" s="6">
        <v>0.10528</v>
      </c>
      <c r="E603" s="6">
        <v>0.76524999999999999</v>
      </c>
      <c r="F603" s="6">
        <v>1.121</v>
      </c>
      <c r="G603" s="6">
        <v>120.48</v>
      </c>
      <c r="H603" s="6">
        <v>49.317</v>
      </c>
      <c r="I603" s="6">
        <v>8675.6</v>
      </c>
      <c r="J603" s="6">
        <v>145.37</v>
      </c>
      <c r="K603" s="6">
        <v>0.68869000000000002</v>
      </c>
      <c r="L603" s="6">
        <v>15.852</v>
      </c>
      <c r="M603" s="6">
        <v>0.10094</v>
      </c>
      <c r="N603" s="6" t="s">
        <v>20</v>
      </c>
    </row>
    <row r="604" spans="1:14" ht="17" x14ac:dyDescent="0.35">
      <c r="A604" s="9">
        <v>126.12</v>
      </c>
      <c r="B604" s="11">
        <v>33.844000000000001</v>
      </c>
      <c r="C604" s="6">
        <v>9.7164000000000001</v>
      </c>
      <c r="D604" s="6">
        <v>0.10292</v>
      </c>
      <c r="E604" s="6">
        <v>0.73157000000000005</v>
      </c>
      <c r="F604" s="6">
        <v>1.0799000000000001</v>
      </c>
      <c r="G604" s="6">
        <v>120.15</v>
      </c>
      <c r="H604" s="6">
        <v>50.3</v>
      </c>
      <c r="I604" s="6">
        <v>13393</v>
      </c>
      <c r="J604" s="6">
        <v>143.68</v>
      </c>
      <c r="K604" s="6">
        <v>0.67564000000000002</v>
      </c>
      <c r="L604" s="6">
        <v>16.14</v>
      </c>
      <c r="M604" s="6">
        <v>0.11831999999999999</v>
      </c>
      <c r="N604" s="6" t="s">
        <v>20</v>
      </c>
    </row>
    <row r="605" spans="1:14" ht="34" x14ac:dyDescent="0.35">
      <c r="A605" s="9">
        <v>126.16</v>
      </c>
      <c r="B605" s="11">
        <v>33.9</v>
      </c>
      <c r="C605" s="6">
        <v>10.029999999999999</v>
      </c>
      <c r="D605" s="6">
        <v>9.9698999999999996E-2</v>
      </c>
      <c r="E605" s="6">
        <v>0.68354999999999999</v>
      </c>
      <c r="F605" s="6">
        <v>1.0215000000000001</v>
      </c>
      <c r="G605" s="6">
        <v>119.68</v>
      </c>
      <c r="H605" s="6" t="s">
        <v>18</v>
      </c>
      <c r="I605" s="6" t="s">
        <v>18</v>
      </c>
      <c r="J605" s="6" t="s">
        <v>18</v>
      </c>
      <c r="K605" s="6">
        <v>0.65839999999999999</v>
      </c>
      <c r="L605" s="6">
        <v>16.568000000000001</v>
      </c>
      <c r="M605" s="6" t="s">
        <v>18</v>
      </c>
      <c r="N605" s="6" t="s">
        <v>20</v>
      </c>
    </row>
  </sheetData>
  <mergeCells count="2">
    <mergeCell ref="A1:C1"/>
    <mergeCell ref="A3:C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74FF2-94F2-41AD-8AA3-7AE91B15DFD4}">
  <dimension ref="A1:O687"/>
  <sheetViews>
    <sheetView workbookViewId="0">
      <selection activeCell="E340" sqref="E340"/>
    </sheetView>
  </sheetViews>
  <sheetFormatPr defaultRowHeight="14.5" x14ac:dyDescent="0.35"/>
  <cols>
    <col min="1" max="1" width="17" customWidth="1"/>
    <col min="2" max="2" width="12.81640625" customWidth="1"/>
    <col min="3" max="3" width="10.26953125" customWidth="1"/>
    <col min="5" max="5" width="18.1796875" customWidth="1"/>
    <col min="6" max="6" width="11.7265625" customWidth="1"/>
    <col min="7" max="7" width="12.81640625" customWidth="1"/>
    <col min="8" max="8" width="11.81640625" customWidth="1"/>
    <col min="9" max="9" width="12.81640625" customWidth="1"/>
    <col min="10" max="10" width="13.81640625" customWidth="1"/>
    <col min="11" max="11" width="18.7265625" customWidth="1"/>
    <col min="12" max="12" width="12" customWidth="1"/>
    <col min="13" max="13" width="16" bestFit="1" customWidth="1"/>
    <col min="14" max="14" width="16.7265625" customWidth="1"/>
  </cols>
  <sheetData>
    <row r="1" spans="1:15" ht="120" customHeight="1" x14ac:dyDescent="0.35">
      <c r="A1" s="113" t="s">
        <v>0</v>
      </c>
      <c r="B1" s="113"/>
      <c r="C1" s="113"/>
      <c r="D1" s="113"/>
    </row>
    <row r="3" spans="1:15" ht="90" customHeight="1" x14ac:dyDescent="0.35">
      <c r="A3" s="112" t="s">
        <v>1</v>
      </c>
      <c r="B3" s="112"/>
      <c r="C3" s="112"/>
      <c r="D3" s="112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spans="1:15" ht="34" x14ac:dyDescent="0.35">
      <c r="A4" s="12" t="s">
        <v>2</v>
      </c>
      <c r="B4" s="10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</row>
    <row r="5" spans="1:15" ht="17" x14ac:dyDescent="0.35">
      <c r="A5" s="14">
        <v>63.151000000000003</v>
      </c>
      <c r="B5" s="11">
        <v>0.12520000000000001</v>
      </c>
      <c r="C5" s="6">
        <v>30.957000000000001</v>
      </c>
      <c r="D5" s="6">
        <v>3.2302999999999998E-2</v>
      </c>
      <c r="E5" s="6">
        <v>-4.2229999999999999</v>
      </c>
      <c r="F5" s="6">
        <v>-4.2225999999999999</v>
      </c>
      <c r="G5" s="6">
        <v>67.950999999999993</v>
      </c>
      <c r="H5" s="6">
        <v>32.951000000000001</v>
      </c>
      <c r="I5" s="6">
        <v>56.033000000000001</v>
      </c>
      <c r="J5" s="6">
        <v>995.28</v>
      </c>
      <c r="K5" s="6">
        <v>-4.0418999999999997E-2</v>
      </c>
      <c r="L5" s="6">
        <v>311.58999999999997</v>
      </c>
      <c r="M5" s="6">
        <v>0.17327999999999999</v>
      </c>
      <c r="N5" s="6">
        <v>1.2205000000000001E-2</v>
      </c>
      <c r="O5" s="6" t="s">
        <v>17</v>
      </c>
    </row>
    <row r="6" spans="1:15" ht="17" x14ac:dyDescent="0.35">
      <c r="A6" s="14">
        <v>66.531999999999996</v>
      </c>
      <c r="B6" s="11">
        <v>0.22520000000000001</v>
      </c>
      <c r="C6" s="6">
        <v>30.457000000000001</v>
      </c>
      <c r="D6" s="6">
        <v>3.2833000000000001E-2</v>
      </c>
      <c r="E6" s="6">
        <v>-4.0334000000000003</v>
      </c>
      <c r="F6" s="6">
        <v>-4.0327000000000002</v>
      </c>
      <c r="G6" s="6">
        <v>70.876000000000005</v>
      </c>
      <c r="H6" s="6">
        <v>32.295999999999999</v>
      </c>
      <c r="I6" s="6">
        <v>56.204000000000001</v>
      </c>
      <c r="J6" s="6">
        <v>960.78</v>
      </c>
      <c r="K6" s="6">
        <v>-3.9305E-2</v>
      </c>
      <c r="L6" s="6">
        <v>260.62</v>
      </c>
      <c r="M6" s="6">
        <v>0.16647000000000001</v>
      </c>
      <c r="N6" s="6">
        <v>1.1395000000000001E-2</v>
      </c>
      <c r="O6" s="6" t="s">
        <v>17</v>
      </c>
    </row>
    <row r="7" spans="1:15" ht="17" x14ac:dyDescent="0.35">
      <c r="A7" s="14">
        <v>68.861000000000004</v>
      </c>
      <c r="B7" s="11">
        <v>0.32519999999999999</v>
      </c>
      <c r="C7" s="6">
        <v>30.106000000000002</v>
      </c>
      <c r="D7" s="6">
        <v>3.3216000000000002E-2</v>
      </c>
      <c r="E7" s="6">
        <v>-3.9024999999999999</v>
      </c>
      <c r="F7" s="6">
        <v>-3.9014000000000002</v>
      </c>
      <c r="G7" s="6">
        <v>72.811000000000007</v>
      </c>
      <c r="H7" s="6">
        <v>31.856000000000002</v>
      </c>
      <c r="I7" s="6">
        <v>56.35</v>
      </c>
      <c r="J7" s="6">
        <v>937.23</v>
      </c>
      <c r="K7" s="6">
        <v>-3.8420000000000003E-2</v>
      </c>
      <c r="L7" s="6">
        <v>232.39</v>
      </c>
      <c r="M7" s="6">
        <v>0.1618</v>
      </c>
      <c r="N7" s="6">
        <v>1.0843E-2</v>
      </c>
      <c r="O7" s="6" t="s">
        <v>17</v>
      </c>
    </row>
    <row r="8" spans="1:15" ht="17" x14ac:dyDescent="0.35">
      <c r="A8" s="14">
        <v>70.677000000000007</v>
      </c>
      <c r="B8" s="11">
        <v>0.42520000000000002</v>
      </c>
      <c r="C8" s="6">
        <v>29.829000000000001</v>
      </c>
      <c r="D8" s="6">
        <v>3.3524999999999999E-2</v>
      </c>
      <c r="E8" s="6">
        <v>-3.8001</v>
      </c>
      <c r="F8" s="6">
        <v>-3.7987000000000002</v>
      </c>
      <c r="G8" s="6">
        <v>74.278000000000006</v>
      </c>
      <c r="H8" s="6">
        <v>31.521999999999998</v>
      </c>
      <c r="I8" s="6">
        <v>56.485999999999997</v>
      </c>
      <c r="J8" s="6">
        <v>918.92</v>
      </c>
      <c r="K8" s="6">
        <v>-3.7652999999999999E-2</v>
      </c>
      <c r="L8" s="6">
        <v>213.44</v>
      </c>
      <c r="M8" s="6">
        <v>0.15816</v>
      </c>
      <c r="N8" s="6">
        <v>1.0416999999999999E-2</v>
      </c>
      <c r="O8" s="6" t="s">
        <v>17</v>
      </c>
    </row>
    <row r="9" spans="1:15" ht="17" x14ac:dyDescent="0.35">
      <c r="A9" s="14">
        <v>72.183000000000007</v>
      </c>
      <c r="B9" s="11">
        <v>0.5252</v>
      </c>
      <c r="C9" s="6">
        <v>29.596</v>
      </c>
      <c r="D9" s="6">
        <v>3.3789E-2</v>
      </c>
      <c r="E9" s="6">
        <v>-3.7151000000000001</v>
      </c>
      <c r="F9" s="6">
        <v>-3.7132999999999998</v>
      </c>
      <c r="G9" s="6">
        <v>75.468999999999994</v>
      </c>
      <c r="H9" s="6">
        <v>31.251000000000001</v>
      </c>
      <c r="I9" s="6">
        <v>56.613999999999997</v>
      </c>
      <c r="J9" s="6">
        <v>903.73</v>
      </c>
      <c r="K9" s="6">
        <v>-3.6958999999999999E-2</v>
      </c>
      <c r="L9" s="6">
        <v>199.44</v>
      </c>
      <c r="M9" s="6">
        <v>0.15515000000000001</v>
      </c>
      <c r="N9" s="6">
        <v>1.0066E-2</v>
      </c>
      <c r="O9" s="6" t="s">
        <v>17</v>
      </c>
    </row>
    <row r="10" spans="1:15" ht="17" x14ac:dyDescent="0.35">
      <c r="A10" s="14">
        <v>73.480999999999995</v>
      </c>
      <c r="B10" s="11">
        <v>0.62519999999999998</v>
      </c>
      <c r="C10" s="6">
        <v>29.393000000000001</v>
      </c>
      <c r="D10" s="6">
        <v>3.4021999999999997E-2</v>
      </c>
      <c r="E10" s="6">
        <v>-3.6417000000000002</v>
      </c>
      <c r="F10" s="6">
        <v>-3.6396000000000002</v>
      </c>
      <c r="G10" s="6">
        <v>76.475999999999999</v>
      </c>
      <c r="H10" s="6">
        <v>31.021999999999998</v>
      </c>
      <c r="I10" s="6">
        <v>56.737000000000002</v>
      </c>
      <c r="J10" s="6">
        <v>890.64</v>
      </c>
      <c r="K10" s="6">
        <v>-3.6316000000000001E-2</v>
      </c>
      <c r="L10" s="6">
        <v>188.47</v>
      </c>
      <c r="M10" s="6">
        <v>0.15256</v>
      </c>
      <c r="N10" s="6">
        <v>9.7657999999999998E-3</v>
      </c>
      <c r="O10" s="6" t="s">
        <v>17</v>
      </c>
    </row>
    <row r="11" spans="1:15" ht="17" x14ac:dyDescent="0.35">
      <c r="A11" s="14">
        <v>74.626000000000005</v>
      </c>
      <c r="B11" s="11">
        <v>0.72519999999999996</v>
      </c>
      <c r="C11" s="6">
        <v>29.212</v>
      </c>
      <c r="D11" s="6">
        <v>3.4231999999999999E-2</v>
      </c>
      <c r="E11" s="6">
        <v>-3.5768</v>
      </c>
      <c r="F11" s="6">
        <v>-3.5743</v>
      </c>
      <c r="G11" s="6">
        <v>77.352999999999994</v>
      </c>
      <c r="H11" s="6">
        <v>30.824000000000002</v>
      </c>
      <c r="I11" s="6">
        <v>56.856999999999999</v>
      </c>
      <c r="J11" s="6">
        <v>879.07</v>
      </c>
      <c r="K11" s="6">
        <v>-3.5711E-2</v>
      </c>
      <c r="L11" s="6">
        <v>179.53</v>
      </c>
      <c r="M11" s="6">
        <v>0.15028</v>
      </c>
      <c r="N11" s="6">
        <v>9.5020999999999994E-3</v>
      </c>
      <c r="O11" s="6" t="s">
        <v>17</v>
      </c>
    </row>
    <row r="12" spans="1:15" ht="17" x14ac:dyDescent="0.35">
      <c r="A12" s="14">
        <v>75.655000000000001</v>
      </c>
      <c r="B12" s="11">
        <v>0.82520000000000004</v>
      </c>
      <c r="C12" s="6">
        <v>29.047999999999998</v>
      </c>
      <c r="D12" s="6">
        <v>3.4424999999999997E-2</v>
      </c>
      <c r="E12" s="6">
        <v>-3.5184000000000002</v>
      </c>
      <c r="F12" s="6">
        <v>-3.5156000000000001</v>
      </c>
      <c r="G12" s="6">
        <v>78.13</v>
      </c>
      <c r="H12" s="6">
        <v>30.65</v>
      </c>
      <c r="I12" s="6">
        <v>56.973999999999997</v>
      </c>
      <c r="J12" s="6">
        <v>868.65</v>
      </c>
      <c r="K12" s="6">
        <v>-3.5136000000000001E-2</v>
      </c>
      <c r="L12" s="6">
        <v>172.04</v>
      </c>
      <c r="M12" s="6">
        <v>0.14823</v>
      </c>
      <c r="N12" s="6">
        <v>9.2663999999999993E-3</v>
      </c>
      <c r="O12" s="6" t="s">
        <v>17</v>
      </c>
    </row>
    <row r="13" spans="1:15" ht="17" x14ac:dyDescent="0.35">
      <c r="A13" s="14">
        <v>76.591999999999999</v>
      </c>
      <c r="B13" s="11">
        <v>0.92520000000000002</v>
      </c>
      <c r="C13" s="6">
        <v>28.898</v>
      </c>
      <c r="D13" s="6">
        <v>3.4604000000000003E-2</v>
      </c>
      <c r="E13" s="6">
        <v>-3.4651000000000001</v>
      </c>
      <c r="F13" s="6">
        <v>-3.4619</v>
      </c>
      <c r="G13" s="6">
        <v>78.83</v>
      </c>
      <c r="H13" s="6">
        <v>30.494</v>
      </c>
      <c r="I13" s="6">
        <v>57.088999999999999</v>
      </c>
      <c r="J13" s="6">
        <v>859.15</v>
      </c>
      <c r="K13" s="6">
        <v>-3.4583000000000003E-2</v>
      </c>
      <c r="L13" s="6">
        <v>165.62</v>
      </c>
      <c r="M13" s="6">
        <v>0.14637</v>
      </c>
      <c r="N13" s="6">
        <v>9.0527999999999997E-3</v>
      </c>
      <c r="O13" s="6" t="s">
        <v>17</v>
      </c>
    </row>
    <row r="14" spans="1:15" ht="17" x14ac:dyDescent="0.35">
      <c r="A14" s="14">
        <v>77.454999999999998</v>
      </c>
      <c r="B14" s="11">
        <v>1.0251999999999999</v>
      </c>
      <c r="C14" s="6">
        <v>28.759</v>
      </c>
      <c r="D14" s="6">
        <v>3.4771999999999997E-2</v>
      </c>
      <c r="E14" s="6">
        <v>-3.4159999999999999</v>
      </c>
      <c r="F14" s="6">
        <v>-3.4123999999999999</v>
      </c>
      <c r="G14" s="6">
        <v>79.468000000000004</v>
      </c>
      <c r="H14" s="6">
        <v>30.352</v>
      </c>
      <c r="I14" s="6">
        <v>57.203000000000003</v>
      </c>
      <c r="J14" s="6">
        <v>850.38</v>
      </c>
      <c r="K14" s="6">
        <v>-3.4049000000000003E-2</v>
      </c>
      <c r="L14" s="6">
        <v>160.03</v>
      </c>
      <c r="M14" s="6">
        <v>0.14465</v>
      </c>
      <c r="N14" s="6">
        <v>8.8570999999999997E-3</v>
      </c>
      <c r="O14" s="6" t="s">
        <v>17</v>
      </c>
    </row>
    <row r="15" spans="1:15" ht="17" x14ac:dyDescent="0.35">
      <c r="A15" s="14">
        <v>78.254999999999995</v>
      </c>
      <c r="B15" s="11">
        <v>1.1252</v>
      </c>
      <c r="C15" s="6">
        <v>28.628</v>
      </c>
      <c r="D15" s="6">
        <v>3.4930000000000003E-2</v>
      </c>
      <c r="E15" s="6">
        <v>-3.3702999999999999</v>
      </c>
      <c r="F15" s="6">
        <v>-3.3664000000000001</v>
      </c>
      <c r="G15" s="6">
        <v>80.055000000000007</v>
      </c>
      <c r="H15" s="6">
        <v>30.222999999999999</v>
      </c>
      <c r="I15" s="6">
        <v>57.314999999999998</v>
      </c>
      <c r="J15" s="6">
        <v>842.22</v>
      </c>
      <c r="K15" s="6">
        <v>-3.3530999999999998E-2</v>
      </c>
      <c r="L15" s="6">
        <v>155.1</v>
      </c>
      <c r="M15" s="6">
        <v>0.14305999999999999</v>
      </c>
      <c r="N15" s="6">
        <v>8.6761000000000008E-3</v>
      </c>
      <c r="O15" s="6" t="s">
        <v>17</v>
      </c>
    </row>
    <row r="16" spans="1:15" ht="17" x14ac:dyDescent="0.35">
      <c r="A16" s="14">
        <v>79.003</v>
      </c>
      <c r="B16" s="11">
        <v>1.2252000000000001</v>
      </c>
      <c r="C16" s="6">
        <v>28.506</v>
      </c>
      <c r="D16" s="6">
        <v>3.5081000000000001E-2</v>
      </c>
      <c r="E16" s="6">
        <v>-3.3275999999999999</v>
      </c>
      <c r="F16" s="6">
        <v>-3.3233000000000001</v>
      </c>
      <c r="G16" s="6">
        <v>80.599000000000004</v>
      </c>
      <c r="H16" s="6">
        <v>30.103999999999999</v>
      </c>
      <c r="I16" s="6">
        <v>57.424999999999997</v>
      </c>
      <c r="J16" s="6">
        <v>834.57</v>
      </c>
      <c r="K16" s="6">
        <v>-3.3027000000000001E-2</v>
      </c>
      <c r="L16" s="6">
        <v>150.69</v>
      </c>
      <c r="M16" s="6">
        <v>0.14157</v>
      </c>
      <c r="N16" s="6">
        <v>8.5077E-3</v>
      </c>
      <c r="O16" s="6" t="s">
        <v>17</v>
      </c>
    </row>
    <row r="17" spans="1:15" ht="17" x14ac:dyDescent="0.35">
      <c r="A17" s="14">
        <v>79.706000000000003</v>
      </c>
      <c r="B17" s="11">
        <v>1.3251999999999999</v>
      </c>
      <c r="C17" s="6">
        <v>28.39</v>
      </c>
      <c r="D17" s="6">
        <v>3.5223999999999998E-2</v>
      </c>
      <c r="E17" s="6">
        <v>-3.2873999999999999</v>
      </c>
      <c r="F17" s="6">
        <v>-3.2827000000000002</v>
      </c>
      <c r="G17" s="6">
        <v>81.105999999999995</v>
      </c>
      <c r="H17" s="6">
        <v>29.994</v>
      </c>
      <c r="I17" s="6">
        <v>57.534999999999997</v>
      </c>
      <c r="J17" s="6">
        <v>827.37</v>
      </c>
      <c r="K17" s="6">
        <v>-3.2532999999999999E-2</v>
      </c>
      <c r="L17" s="6">
        <v>146.72</v>
      </c>
      <c r="M17" s="6">
        <v>0.14016999999999999</v>
      </c>
      <c r="N17" s="6">
        <v>8.3500999999999992E-3</v>
      </c>
      <c r="O17" s="6" t="s">
        <v>17</v>
      </c>
    </row>
    <row r="18" spans="1:15" ht="17" x14ac:dyDescent="0.35">
      <c r="A18" s="14">
        <v>80.370999999999995</v>
      </c>
      <c r="B18" s="11">
        <v>1.4252</v>
      </c>
      <c r="C18" s="6">
        <v>28.28</v>
      </c>
      <c r="D18" s="6">
        <v>3.5360999999999997E-2</v>
      </c>
      <c r="E18" s="6">
        <v>-3.2492999999999999</v>
      </c>
      <c r="F18" s="6">
        <v>-3.2443</v>
      </c>
      <c r="G18" s="6">
        <v>81.581999999999994</v>
      </c>
      <c r="H18" s="6">
        <v>29.890999999999998</v>
      </c>
      <c r="I18" s="6">
        <v>57.643999999999998</v>
      </c>
      <c r="J18" s="6">
        <v>820.55</v>
      </c>
      <c r="K18" s="6">
        <v>-3.2049000000000001E-2</v>
      </c>
      <c r="L18" s="6">
        <v>143.11000000000001</v>
      </c>
      <c r="M18" s="6">
        <v>0.13885</v>
      </c>
      <c r="N18" s="6">
        <v>8.2016999999999993E-3</v>
      </c>
      <c r="O18" s="6" t="s">
        <v>17</v>
      </c>
    </row>
    <row r="19" spans="1:15" ht="17" x14ac:dyDescent="0.35">
      <c r="A19" s="14">
        <v>81</v>
      </c>
      <c r="B19" s="11">
        <v>1.5251999999999999</v>
      </c>
      <c r="C19" s="6">
        <v>28.175000000000001</v>
      </c>
      <c r="D19" s="6">
        <v>3.5492999999999997E-2</v>
      </c>
      <c r="E19" s="6">
        <v>-3.2132000000000001</v>
      </c>
      <c r="F19" s="6">
        <v>-3.2077</v>
      </c>
      <c r="G19" s="6">
        <v>82.03</v>
      </c>
      <c r="H19" s="6">
        <v>29.795000000000002</v>
      </c>
      <c r="I19" s="6">
        <v>57.752000000000002</v>
      </c>
      <c r="J19" s="6">
        <v>814.07</v>
      </c>
      <c r="K19" s="6">
        <v>-3.1573999999999998E-2</v>
      </c>
      <c r="L19" s="6">
        <v>139.82</v>
      </c>
      <c r="M19" s="6">
        <v>0.1376</v>
      </c>
      <c r="N19" s="6">
        <v>8.0614999999999992E-3</v>
      </c>
      <c r="O19" s="6" t="s">
        <v>17</v>
      </c>
    </row>
    <row r="20" spans="1:15" ht="17" x14ac:dyDescent="0.35">
      <c r="A20" s="14">
        <v>81.599999999999994</v>
      </c>
      <c r="B20" s="11">
        <v>1.6252</v>
      </c>
      <c r="C20" s="6">
        <v>28.074000000000002</v>
      </c>
      <c r="D20" s="6">
        <v>3.5619999999999999E-2</v>
      </c>
      <c r="E20" s="6">
        <v>-3.1787000000000001</v>
      </c>
      <c r="F20" s="6">
        <v>-3.1728999999999998</v>
      </c>
      <c r="G20" s="6">
        <v>82.453999999999994</v>
      </c>
      <c r="H20" s="6">
        <v>29.704999999999998</v>
      </c>
      <c r="I20" s="6">
        <v>57.86</v>
      </c>
      <c r="J20" s="6">
        <v>807.88</v>
      </c>
      <c r="K20" s="6">
        <v>-3.1106000000000002E-2</v>
      </c>
      <c r="L20" s="6">
        <v>136.79</v>
      </c>
      <c r="M20" s="6">
        <v>0.13641</v>
      </c>
      <c r="N20" s="6">
        <v>7.9284999999999998E-3</v>
      </c>
      <c r="O20" s="6" t="s">
        <v>17</v>
      </c>
    </row>
    <row r="21" spans="1:15" ht="17" x14ac:dyDescent="0.35">
      <c r="A21" s="14">
        <v>82.171999999999997</v>
      </c>
      <c r="B21" s="11">
        <v>1.7252000000000001</v>
      </c>
      <c r="C21" s="6">
        <v>27.977</v>
      </c>
      <c r="D21" s="6">
        <v>3.5742999999999997E-2</v>
      </c>
      <c r="E21" s="6">
        <v>-3.1457999999999999</v>
      </c>
      <c r="F21" s="6">
        <v>-3.1396000000000002</v>
      </c>
      <c r="G21" s="6">
        <v>82.856999999999999</v>
      </c>
      <c r="H21" s="6">
        <v>29.62</v>
      </c>
      <c r="I21" s="6">
        <v>57.966999999999999</v>
      </c>
      <c r="J21" s="6">
        <v>801.96</v>
      </c>
      <c r="K21" s="6">
        <v>-3.0644999999999999E-2</v>
      </c>
      <c r="L21" s="6">
        <v>133.97999999999999</v>
      </c>
      <c r="M21" s="6">
        <v>0.13527</v>
      </c>
      <c r="N21" s="6">
        <v>7.8018999999999996E-3</v>
      </c>
      <c r="O21" s="6" t="s">
        <v>17</v>
      </c>
    </row>
    <row r="22" spans="1:15" ht="17" x14ac:dyDescent="0.35">
      <c r="A22" s="14">
        <v>82.72</v>
      </c>
      <c r="B22" s="11">
        <v>1.8251999999999999</v>
      </c>
      <c r="C22" s="6">
        <v>27.884</v>
      </c>
      <c r="D22" s="6">
        <v>3.5862999999999999E-2</v>
      </c>
      <c r="E22" s="6">
        <v>-3.1141999999999999</v>
      </c>
      <c r="F22" s="6">
        <v>-3.1076000000000001</v>
      </c>
      <c r="G22" s="6">
        <v>83.24</v>
      </c>
      <c r="H22" s="6">
        <v>29.54</v>
      </c>
      <c r="I22" s="6">
        <v>58.073999999999998</v>
      </c>
      <c r="J22" s="6">
        <v>796.27</v>
      </c>
      <c r="K22" s="6">
        <v>-3.0189000000000001E-2</v>
      </c>
      <c r="L22" s="6">
        <v>131.38</v>
      </c>
      <c r="M22" s="6">
        <v>0.13419</v>
      </c>
      <c r="N22" s="6">
        <v>7.6810999999999997E-3</v>
      </c>
      <c r="O22" s="6" t="s">
        <v>17</v>
      </c>
    </row>
    <row r="23" spans="1:15" ht="17" x14ac:dyDescent="0.35">
      <c r="A23" s="14">
        <v>83.245999999999995</v>
      </c>
      <c r="B23" s="11">
        <v>1.9252</v>
      </c>
      <c r="C23" s="6">
        <v>27.795000000000002</v>
      </c>
      <c r="D23" s="6">
        <v>3.5978000000000003E-2</v>
      </c>
      <c r="E23" s="6">
        <v>-3.0838000000000001</v>
      </c>
      <c r="F23" s="6">
        <v>-3.0769000000000002</v>
      </c>
      <c r="G23" s="6">
        <v>83.605999999999995</v>
      </c>
      <c r="H23" s="6">
        <v>29.463000000000001</v>
      </c>
      <c r="I23" s="6">
        <v>58.18</v>
      </c>
      <c r="J23" s="6">
        <v>790.8</v>
      </c>
      <c r="K23" s="6">
        <v>-2.9739000000000002E-2</v>
      </c>
      <c r="L23" s="6">
        <v>128.94999999999999</v>
      </c>
      <c r="M23" s="6">
        <v>0.13314000000000001</v>
      </c>
      <c r="N23" s="6">
        <v>7.5655000000000002E-3</v>
      </c>
      <c r="O23" s="6" t="s">
        <v>17</v>
      </c>
    </row>
    <row r="24" spans="1:15" ht="17" x14ac:dyDescent="0.35">
      <c r="A24" s="14">
        <v>83.751000000000005</v>
      </c>
      <c r="B24" s="11">
        <v>2.0251999999999999</v>
      </c>
      <c r="C24" s="6">
        <v>27.707999999999998</v>
      </c>
      <c r="D24" s="6">
        <v>3.6090999999999998E-2</v>
      </c>
      <c r="E24" s="6">
        <v>-3.0546000000000002</v>
      </c>
      <c r="F24" s="6">
        <v>-3.0472999999999999</v>
      </c>
      <c r="G24" s="6">
        <v>83.956999999999994</v>
      </c>
      <c r="H24" s="6">
        <v>29.390999999999998</v>
      </c>
      <c r="I24" s="6">
        <v>58.286999999999999</v>
      </c>
      <c r="J24" s="6">
        <v>785.53</v>
      </c>
      <c r="K24" s="6">
        <v>-2.9291999999999999E-2</v>
      </c>
      <c r="L24" s="6">
        <v>126.67</v>
      </c>
      <c r="M24" s="6">
        <v>0.13214000000000001</v>
      </c>
      <c r="N24" s="6">
        <v>7.4546999999999999E-3</v>
      </c>
      <c r="O24" s="6" t="s">
        <v>17</v>
      </c>
    </row>
    <row r="25" spans="1:15" ht="17" x14ac:dyDescent="0.35">
      <c r="A25" s="14">
        <v>84.239000000000004</v>
      </c>
      <c r="B25" s="11">
        <v>2.1252</v>
      </c>
      <c r="C25" s="6">
        <v>27.623999999999999</v>
      </c>
      <c r="D25" s="6">
        <v>3.6200999999999997E-2</v>
      </c>
      <c r="E25" s="6">
        <v>-3.0263</v>
      </c>
      <c r="F25" s="6">
        <v>-3.0186999999999999</v>
      </c>
      <c r="G25" s="6">
        <v>84.293000000000006</v>
      </c>
      <c r="H25" s="6">
        <v>29.321000000000002</v>
      </c>
      <c r="I25" s="6">
        <v>58.393000000000001</v>
      </c>
      <c r="J25" s="6">
        <v>780.43</v>
      </c>
      <c r="K25" s="6">
        <v>-2.8850000000000001E-2</v>
      </c>
      <c r="L25" s="6">
        <v>124.54</v>
      </c>
      <c r="M25" s="6">
        <v>0.13117000000000001</v>
      </c>
      <c r="N25" s="6">
        <v>7.3480999999999998E-3</v>
      </c>
      <c r="O25" s="6" t="s">
        <v>17</v>
      </c>
    </row>
    <row r="26" spans="1:15" ht="17" x14ac:dyDescent="0.35">
      <c r="A26" s="14">
        <v>84.71</v>
      </c>
      <c r="B26" s="11">
        <v>2.2252000000000001</v>
      </c>
      <c r="C26" s="6">
        <v>27.542000000000002</v>
      </c>
      <c r="D26" s="6">
        <v>3.6308E-2</v>
      </c>
      <c r="E26" s="6">
        <v>-2.9990999999999999</v>
      </c>
      <c r="F26" s="6">
        <v>-2.9910000000000001</v>
      </c>
      <c r="G26" s="6">
        <v>84.616</v>
      </c>
      <c r="H26" s="6">
        <v>29.254999999999999</v>
      </c>
      <c r="I26" s="6">
        <v>58.499000000000002</v>
      </c>
      <c r="J26" s="6">
        <v>775.49</v>
      </c>
      <c r="K26" s="6">
        <v>-2.8410999999999999E-2</v>
      </c>
      <c r="L26" s="6">
        <v>122.52</v>
      </c>
      <c r="M26" s="6">
        <v>0.13023999999999999</v>
      </c>
      <c r="N26" s="6">
        <v>7.2455999999999996E-3</v>
      </c>
      <c r="O26" s="6" t="s">
        <v>17</v>
      </c>
    </row>
    <row r="27" spans="1:15" ht="17" x14ac:dyDescent="0.35">
      <c r="A27" s="14">
        <v>85.165000000000006</v>
      </c>
      <c r="B27" s="11">
        <v>2.3252000000000002</v>
      </c>
      <c r="C27" s="6">
        <v>27.463000000000001</v>
      </c>
      <c r="D27" s="6">
        <v>3.6413000000000001E-2</v>
      </c>
      <c r="E27" s="6">
        <v>-2.9725999999999999</v>
      </c>
      <c r="F27" s="6">
        <v>-2.9641999999999999</v>
      </c>
      <c r="G27" s="6">
        <v>84.927999999999997</v>
      </c>
      <c r="H27" s="6">
        <v>29.192</v>
      </c>
      <c r="I27" s="6">
        <v>58.604999999999997</v>
      </c>
      <c r="J27" s="6">
        <v>770.71</v>
      </c>
      <c r="K27" s="6">
        <v>-2.7976000000000001E-2</v>
      </c>
      <c r="L27" s="6">
        <v>120.62</v>
      </c>
      <c r="M27" s="6">
        <v>0.12934000000000001</v>
      </c>
      <c r="N27" s="6">
        <v>7.1466000000000003E-3</v>
      </c>
      <c r="O27" s="6" t="s">
        <v>17</v>
      </c>
    </row>
    <row r="28" spans="1:15" ht="17" x14ac:dyDescent="0.35">
      <c r="A28" s="14">
        <v>85.605999999999995</v>
      </c>
      <c r="B28" s="11">
        <v>2.4251999999999998</v>
      </c>
      <c r="C28" s="6">
        <v>27.385999999999999</v>
      </c>
      <c r="D28" s="6">
        <v>3.6514999999999999E-2</v>
      </c>
      <c r="E28" s="6">
        <v>-2.9470000000000001</v>
      </c>
      <c r="F28" s="6">
        <v>-2.9380999999999999</v>
      </c>
      <c r="G28" s="6">
        <v>85.227999999999994</v>
      </c>
      <c r="H28" s="6">
        <v>29.132000000000001</v>
      </c>
      <c r="I28" s="6">
        <v>58.710999999999999</v>
      </c>
      <c r="J28" s="6">
        <v>766.06</v>
      </c>
      <c r="K28" s="6">
        <v>-2.7543000000000002E-2</v>
      </c>
      <c r="L28" s="6">
        <v>118.82</v>
      </c>
      <c r="M28" s="6">
        <v>0.12847</v>
      </c>
      <c r="N28" s="6">
        <v>7.0511000000000002E-3</v>
      </c>
      <c r="O28" s="6" t="s">
        <v>17</v>
      </c>
    </row>
    <row r="29" spans="1:15" ht="17" x14ac:dyDescent="0.35">
      <c r="A29" s="14">
        <v>86.033000000000001</v>
      </c>
      <c r="B29" s="11">
        <v>2.5251999999999999</v>
      </c>
      <c r="C29" s="6">
        <v>27.311</v>
      </c>
      <c r="D29" s="6">
        <v>3.6616000000000003E-2</v>
      </c>
      <c r="E29" s="6">
        <v>-2.9220999999999999</v>
      </c>
      <c r="F29" s="6">
        <v>-2.9129</v>
      </c>
      <c r="G29" s="6">
        <v>85.519000000000005</v>
      </c>
      <c r="H29" s="6">
        <v>29.073</v>
      </c>
      <c r="I29" s="6">
        <v>58.817</v>
      </c>
      <c r="J29" s="6">
        <v>761.54</v>
      </c>
      <c r="K29" s="6">
        <v>-2.7113000000000002E-2</v>
      </c>
      <c r="L29" s="6">
        <v>117.12</v>
      </c>
      <c r="M29" s="6">
        <v>0.12762999999999999</v>
      </c>
      <c r="N29" s="6">
        <v>6.9587E-3</v>
      </c>
      <c r="O29" s="6" t="s">
        <v>17</v>
      </c>
    </row>
    <row r="30" spans="1:15" ht="17" x14ac:dyDescent="0.35">
      <c r="A30" s="14">
        <v>86.447999999999993</v>
      </c>
      <c r="B30" s="11">
        <v>2.6252</v>
      </c>
      <c r="C30" s="6">
        <v>27.236999999999998</v>
      </c>
      <c r="D30" s="6">
        <v>3.6714999999999998E-2</v>
      </c>
      <c r="E30" s="6">
        <v>-2.8978999999999999</v>
      </c>
      <c r="F30" s="6">
        <v>-2.8883000000000001</v>
      </c>
      <c r="G30" s="6">
        <v>85.8</v>
      </c>
      <c r="H30" s="6">
        <v>29.018000000000001</v>
      </c>
      <c r="I30" s="6">
        <v>58.923000000000002</v>
      </c>
      <c r="J30" s="6">
        <v>757.14</v>
      </c>
      <c r="K30" s="6">
        <v>-2.6685E-2</v>
      </c>
      <c r="L30" s="6">
        <v>115.49</v>
      </c>
      <c r="M30" s="6">
        <v>0.12681000000000001</v>
      </c>
      <c r="N30" s="6">
        <v>6.8691000000000004E-3</v>
      </c>
      <c r="O30" s="6" t="s">
        <v>17</v>
      </c>
    </row>
    <row r="31" spans="1:15" ht="17" x14ac:dyDescent="0.35">
      <c r="A31" s="14">
        <v>86.852000000000004</v>
      </c>
      <c r="B31" s="11">
        <v>2.7252000000000001</v>
      </c>
      <c r="C31" s="6">
        <v>27.166</v>
      </c>
      <c r="D31" s="6">
        <v>3.6811000000000003E-2</v>
      </c>
      <c r="E31" s="6">
        <v>-2.8742999999999999</v>
      </c>
      <c r="F31" s="6">
        <v>-2.8643000000000001</v>
      </c>
      <c r="G31" s="6">
        <v>86.072000000000003</v>
      </c>
      <c r="H31" s="6">
        <v>28.963999999999999</v>
      </c>
      <c r="I31" s="6">
        <v>59.029000000000003</v>
      </c>
      <c r="J31" s="6">
        <v>752.85</v>
      </c>
      <c r="K31" s="6">
        <v>-2.6258E-2</v>
      </c>
      <c r="L31" s="6">
        <v>113.94</v>
      </c>
      <c r="M31" s="6">
        <v>0.12601000000000001</v>
      </c>
      <c r="N31" s="6">
        <v>6.7822999999999998E-3</v>
      </c>
      <c r="O31" s="6" t="s">
        <v>17</v>
      </c>
    </row>
    <row r="32" spans="1:15" ht="17" x14ac:dyDescent="0.35">
      <c r="A32" s="14">
        <v>87.245000000000005</v>
      </c>
      <c r="B32" s="11">
        <v>2.8252000000000002</v>
      </c>
      <c r="C32" s="6">
        <v>27.096</v>
      </c>
      <c r="D32" s="6">
        <v>3.6906000000000001E-2</v>
      </c>
      <c r="E32" s="6">
        <v>-2.8513999999999999</v>
      </c>
      <c r="F32" s="6">
        <v>-2.8409</v>
      </c>
      <c r="G32" s="6">
        <v>86.335999999999999</v>
      </c>
      <c r="H32" s="6">
        <v>28.911999999999999</v>
      </c>
      <c r="I32" s="6">
        <v>59.134999999999998</v>
      </c>
      <c r="J32" s="6">
        <v>748.67</v>
      </c>
      <c r="K32" s="6">
        <v>-2.5833999999999999E-2</v>
      </c>
      <c r="L32" s="6">
        <v>112.46</v>
      </c>
      <c r="M32" s="6">
        <v>0.12523999999999999</v>
      </c>
      <c r="N32" s="6">
        <v>6.6981000000000002E-3</v>
      </c>
      <c r="O32" s="6" t="s">
        <v>17</v>
      </c>
    </row>
    <row r="33" spans="1:15" ht="17" x14ac:dyDescent="0.35">
      <c r="A33" s="14">
        <v>87.626999999999995</v>
      </c>
      <c r="B33" s="11">
        <v>2.9251999999999998</v>
      </c>
      <c r="C33" s="6">
        <v>27.027000000000001</v>
      </c>
      <c r="D33" s="6">
        <v>3.6999999999999998E-2</v>
      </c>
      <c r="E33" s="6">
        <v>-2.8290000000000002</v>
      </c>
      <c r="F33" s="6">
        <v>-2.8180999999999998</v>
      </c>
      <c r="G33" s="6">
        <v>86.593000000000004</v>
      </c>
      <c r="H33" s="6">
        <v>28.861999999999998</v>
      </c>
      <c r="I33" s="6">
        <v>59.241</v>
      </c>
      <c r="J33" s="6">
        <v>744.59</v>
      </c>
      <c r="K33" s="6">
        <v>-2.5411E-2</v>
      </c>
      <c r="L33" s="6">
        <v>111.05</v>
      </c>
      <c r="M33" s="6">
        <v>0.12447999999999999</v>
      </c>
      <c r="N33" s="6">
        <v>6.6162E-3</v>
      </c>
      <c r="O33" s="6" t="s">
        <v>17</v>
      </c>
    </row>
    <row r="34" spans="1:15" ht="17" x14ac:dyDescent="0.35">
      <c r="A34" s="14">
        <v>88</v>
      </c>
      <c r="B34" s="11">
        <v>3.0251999999999999</v>
      </c>
      <c r="C34" s="6">
        <v>26.96</v>
      </c>
      <c r="D34" s="6">
        <v>3.7092E-2</v>
      </c>
      <c r="E34" s="6">
        <v>-2.8071000000000002</v>
      </c>
      <c r="F34" s="6">
        <v>-2.7959000000000001</v>
      </c>
      <c r="G34" s="6">
        <v>86.841999999999999</v>
      </c>
      <c r="H34" s="6">
        <v>28.814</v>
      </c>
      <c r="I34" s="6">
        <v>59.347999999999999</v>
      </c>
      <c r="J34" s="6">
        <v>740.59</v>
      </c>
      <c r="K34" s="6">
        <v>-2.4989000000000001E-2</v>
      </c>
      <c r="L34" s="6">
        <v>109.69</v>
      </c>
      <c r="M34" s="6">
        <v>0.12375</v>
      </c>
      <c r="N34" s="6">
        <v>6.5364999999999998E-3</v>
      </c>
      <c r="O34" s="6" t="s">
        <v>17</v>
      </c>
    </row>
    <row r="35" spans="1:15" ht="17" x14ac:dyDescent="0.35">
      <c r="A35" s="14">
        <v>88.364999999999995</v>
      </c>
      <c r="B35" s="11">
        <v>3.1252</v>
      </c>
      <c r="C35" s="6">
        <v>26.893999999999998</v>
      </c>
      <c r="D35" s="6">
        <v>3.7183000000000001E-2</v>
      </c>
      <c r="E35" s="6">
        <v>-2.7856999999999998</v>
      </c>
      <c r="F35" s="6">
        <v>-2.7740999999999998</v>
      </c>
      <c r="G35" s="6">
        <v>87.084999999999994</v>
      </c>
      <c r="H35" s="6">
        <v>28.766999999999999</v>
      </c>
      <c r="I35" s="6">
        <v>59.454000000000001</v>
      </c>
      <c r="J35" s="6">
        <v>736.68</v>
      </c>
      <c r="K35" s="6">
        <v>-2.4569000000000001E-2</v>
      </c>
      <c r="L35" s="6">
        <v>108.39</v>
      </c>
      <c r="M35" s="6">
        <v>0.12303</v>
      </c>
      <c r="N35" s="6">
        <v>6.4589000000000001E-3</v>
      </c>
      <c r="O35" s="6" t="s">
        <v>17</v>
      </c>
    </row>
    <row r="36" spans="1:15" ht="17" x14ac:dyDescent="0.35">
      <c r="A36" s="14">
        <v>88.72</v>
      </c>
      <c r="B36" s="11">
        <v>3.2252000000000001</v>
      </c>
      <c r="C36" s="6">
        <v>26.83</v>
      </c>
      <c r="D36" s="6">
        <v>3.7272E-2</v>
      </c>
      <c r="E36" s="6">
        <v>-2.7648000000000001</v>
      </c>
      <c r="F36" s="6">
        <v>-2.7528000000000001</v>
      </c>
      <c r="G36" s="6">
        <v>87.320999999999998</v>
      </c>
      <c r="H36" s="6">
        <v>28.722000000000001</v>
      </c>
      <c r="I36" s="6">
        <v>59.561</v>
      </c>
      <c r="J36" s="6">
        <v>732.86</v>
      </c>
      <c r="K36" s="6">
        <v>-2.4149E-2</v>
      </c>
      <c r="L36" s="6">
        <v>107.15</v>
      </c>
      <c r="M36" s="6">
        <v>0.12232999999999999</v>
      </c>
      <c r="N36" s="6">
        <v>6.3832999999999997E-3</v>
      </c>
      <c r="O36" s="6" t="s">
        <v>17</v>
      </c>
    </row>
    <row r="37" spans="1:15" ht="17" x14ac:dyDescent="0.35">
      <c r="A37" s="14">
        <v>89.067999999999998</v>
      </c>
      <c r="B37" s="11">
        <v>3.3252000000000002</v>
      </c>
      <c r="C37" s="6">
        <v>26.765999999999998</v>
      </c>
      <c r="D37" s="6">
        <v>3.7359999999999997E-2</v>
      </c>
      <c r="E37" s="6">
        <v>-2.7443</v>
      </c>
      <c r="F37" s="6">
        <v>-2.7319</v>
      </c>
      <c r="G37" s="6">
        <v>87.552000000000007</v>
      </c>
      <c r="H37" s="6">
        <v>28.678999999999998</v>
      </c>
      <c r="I37" s="6">
        <v>59.668999999999997</v>
      </c>
      <c r="J37" s="6">
        <v>729.11</v>
      </c>
      <c r="K37" s="6">
        <v>-2.3730999999999999E-2</v>
      </c>
      <c r="L37" s="6">
        <v>105.95</v>
      </c>
      <c r="M37" s="6">
        <v>0.12164</v>
      </c>
      <c r="N37" s="6">
        <v>6.3096000000000003E-3</v>
      </c>
      <c r="O37" s="6" t="s">
        <v>17</v>
      </c>
    </row>
    <row r="38" spans="1:15" ht="17" x14ac:dyDescent="0.35">
      <c r="A38" s="14">
        <v>89.408000000000001</v>
      </c>
      <c r="B38" s="11">
        <v>3.4251999999999998</v>
      </c>
      <c r="C38" s="6">
        <v>26.704000000000001</v>
      </c>
      <c r="D38" s="6">
        <v>3.7447000000000001E-2</v>
      </c>
      <c r="E38" s="6">
        <v>-2.7242999999999999</v>
      </c>
      <c r="F38" s="6">
        <v>-2.7115</v>
      </c>
      <c r="G38" s="6">
        <v>87.777000000000001</v>
      </c>
      <c r="H38" s="6">
        <v>28.635999999999999</v>
      </c>
      <c r="I38" s="6">
        <v>59.776000000000003</v>
      </c>
      <c r="J38" s="6">
        <v>725.43</v>
      </c>
      <c r="K38" s="6">
        <v>-2.3311999999999999E-2</v>
      </c>
      <c r="L38" s="6">
        <v>104.79</v>
      </c>
      <c r="M38" s="6">
        <v>0.12096999999999999</v>
      </c>
      <c r="N38" s="6">
        <v>6.2376999999999997E-3</v>
      </c>
      <c r="O38" s="6" t="s">
        <v>17</v>
      </c>
    </row>
    <row r="39" spans="1:15" ht="17" x14ac:dyDescent="0.35">
      <c r="A39" s="14">
        <v>89.741</v>
      </c>
      <c r="B39" s="11">
        <v>3.5251999999999999</v>
      </c>
      <c r="C39" s="6">
        <v>26.643000000000001</v>
      </c>
      <c r="D39" s="6">
        <v>3.7532999999999997E-2</v>
      </c>
      <c r="E39" s="6">
        <v>-2.7046000000000001</v>
      </c>
      <c r="F39" s="6">
        <v>-2.6913999999999998</v>
      </c>
      <c r="G39" s="6">
        <v>87.995999999999995</v>
      </c>
      <c r="H39" s="6">
        <v>28.594999999999999</v>
      </c>
      <c r="I39" s="6">
        <v>59.884</v>
      </c>
      <c r="J39" s="6">
        <v>721.83</v>
      </c>
      <c r="K39" s="6">
        <v>-2.2894999999999999E-2</v>
      </c>
      <c r="L39" s="6">
        <v>103.67</v>
      </c>
      <c r="M39" s="6">
        <v>0.12031</v>
      </c>
      <c r="N39" s="6">
        <v>6.1675000000000002E-3</v>
      </c>
      <c r="O39" s="6" t="s">
        <v>17</v>
      </c>
    </row>
    <row r="40" spans="1:15" ht="17" x14ac:dyDescent="0.35">
      <c r="A40" s="14">
        <v>90.066999999999993</v>
      </c>
      <c r="B40" s="11">
        <v>3.6252</v>
      </c>
      <c r="C40" s="6">
        <v>26.582999999999998</v>
      </c>
      <c r="D40" s="6">
        <v>3.7617999999999999E-2</v>
      </c>
      <c r="E40" s="6">
        <v>-2.6854</v>
      </c>
      <c r="F40" s="6">
        <v>-2.6717</v>
      </c>
      <c r="G40" s="6">
        <v>88.210999999999999</v>
      </c>
      <c r="H40" s="6">
        <v>28.555</v>
      </c>
      <c r="I40" s="6">
        <v>59.991999999999997</v>
      </c>
      <c r="J40" s="6">
        <v>718.28</v>
      </c>
      <c r="K40" s="6">
        <v>-2.2478000000000001E-2</v>
      </c>
      <c r="L40" s="6">
        <v>102.6</v>
      </c>
      <c r="M40" s="6">
        <v>0.11967</v>
      </c>
      <c r="N40" s="6">
        <v>6.0987999999999997E-3</v>
      </c>
      <c r="O40" s="6" t="s">
        <v>17</v>
      </c>
    </row>
    <row r="41" spans="1:15" ht="17" x14ac:dyDescent="0.35">
      <c r="A41" s="14">
        <v>90.385999999999996</v>
      </c>
      <c r="B41" s="11">
        <v>3.7252000000000001</v>
      </c>
      <c r="C41" s="6">
        <v>26.524000000000001</v>
      </c>
      <c r="D41" s="6">
        <v>3.7701999999999999E-2</v>
      </c>
      <c r="E41" s="6">
        <v>-2.6665000000000001</v>
      </c>
      <c r="F41" s="6">
        <v>-2.6524000000000001</v>
      </c>
      <c r="G41" s="6">
        <v>88.421000000000006</v>
      </c>
      <c r="H41" s="6">
        <v>28.516999999999999</v>
      </c>
      <c r="I41" s="6">
        <v>60.1</v>
      </c>
      <c r="J41" s="6">
        <v>714.8</v>
      </c>
      <c r="K41" s="6">
        <v>-2.2061000000000001E-2</v>
      </c>
      <c r="L41" s="6">
        <v>101.56</v>
      </c>
      <c r="M41" s="6">
        <v>0.11904000000000001</v>
      </c>
      <c r="N41" s="6">
        <v>6.0317000000000001E-3</v>
      </c>
      <c r="O41" s="6" t="s">
        <v>17</v>
      </c>
    </row>
    <row r="42" spans="1:15" ht="17" x14ac:dyDescent="0.35">
      <c r="A42" s="14">
        <v>90.698999999999998</v>
      </c>
      <c r="B42" s="11">
        <v>3.8252000000000002</v>
      </c>
      <c r="C42" s="6">
        <v>26.465</v>
      </c>
      <c r="D42" s="6">
        <v>3.7784999999999999E-2</v>
      </c>
      <c r="E42" s="6">
        <v>-2.6478999999999999</v>
      </c>
      <c r="F42" s="6">
        <v>-2.6335000000000002</v>
      </c>
      <c r="G42" s="6">
        <v>88.626000000000005</v>
      </c>
      <c r="H42" s="6">
        <v>28.478999999999999</v>
      </c>
      <c r="I42" s="6">
        <v>60.209000000000003</v>
      </c>
      <c r="J42" s="6">
        <v>711.38</v>
      </c>
      <c r="K42" s="6">
        <v>-2.1645000000000001E-2</v>
      </c>
      <c r="L42" s="6">
        <v>100.55</v>
      </c>
      <c r="M42" s="6">
        <v>0.11842999999999999</v>
      </c>
      <c r="N42" s="6">
        <v>5.9659999999999999E-3</v>
      </c>
      <c r="O42" s="6" t="s">
        <v>17</v>
      </c>
    </row>
    <row r="43" spans="1:15" ht="17" x14ac:dyDescent="0.35">
      <c r="A43" s="14">
        <v>91.007000000000005</v>
      </c>
      <c r="B43" s="11">
        <v>3.9251999999999998</v>
      </c>
      <c r="C43" s="6">
        <v>26.408000000000001</v>
      </c>
      <c r="D43" s="6">
        <v>3.7866999999999998E-2</v>
      </c>
      <c r="E43" s="6">
        <v>-2.6297000000000001</v>
      </c>
      <c r="F43" s="6">
        <v>-2.6147999999999998</v>
      </c>
      <c r="G43" s="6">
        <v>88.826999999999998</v>
      </c>
      <c r="H43" s="6">
        <v>28.443000000000001</v>
      </c>
      <c r="I43" s="6">
        <v>60.317999999999998</v>
      </c>
      <c r="J43" s="6">
        <v>708.02</v>
      </c>
      <c r="K43" s="6">
        <v>-2.1228E-2</v>
      </c>
      <c r="L43" s="6">
        <v>99.581999999999994</v>
      </c>
      <c r="M43" s="6">
        <v>0.11781999999999999</v>
      </c>
      <c r="N43" s="6">
        <v>5.9017000000000002E-3</v>
      </c>
      <c r="O43" s="6" t="s">
        <v>17</v>
      </c>
    </row>
    <row r="44" spans="1:15" ht="17" x14ac:dyDescent="0.35">
      <c r="A44" s="14">
        <v>91.308000000000007</v>
      </c>
      <c r="B44" s="11">
        <v>4.0251999999999999</v>
      </c>
      <c r="C44" s="6">
        <v>26.352</v>
      </c>
      <c r="D44" s="6">
        <v>3.7948000000000003E-2</v>
      </c>
      <c r="E44" s="6">
        <v>-2.6116999999999999</v>
      </c>
      <c r="F44" s="6">
        <v>-2.5964999999999998</v>
      </c>
      <c r="G44" s="6">
        <v>89.024000000000001</v>
      </c>
      <c r="H44" s="6">
        <v>28.407</v>
      </c>
      <c r="I44" s="6">
        <v>60.427</v>
      </c>
      <c r="J44" s="6">
        <v>704.71</v>
      </c>
      <c r="K44" s="6">
        <v>-2.0812000000000001E-2</v>
      </c>
      <c r="L44" s="6">
        <v>98.638999999999996</v>
      </c>
      <c r="M44" s="6">
        <v>0.11723</v>
      </c>
      <c r="N44" s="6">
        <v>5.8387999999999999E-3</v>
      </c>
      <c r="O44" s="6" t="s">
        <v>17</v>
      </c>
    </row>
    <row r="45" spans="1:15" ht="17" x14ac:dyDescent="0.35">
      <c r="A45" s="14">
        <v>91.603999999999999</v>
      </c>
      <c r="B45" s="11">
        <v>4.1252000000000004</v>
      </c>
      <c r="C45" s="6">
        <v>26.295999999999999</v>
      </c>
      <c r="D45" s="6">
        <v>3.8029E-2</v>
      </c>
      <c r="E45" s="6">
        <v>-2.5941000000000001</v>
      </c>
      <c r="F45" s="6">
        <v>-2.5783999999999998</v>
      </c>
      <c r="G45" s="6">
        <v>89.216999999999999</v>
      </c>
      <c r="H45" s="6">
        <v>28.373000000000001</v>
      </c>
      <c r="I45" s="6">
        <v>60.536999999999999</v>
      </c>
      <c r="J45" s="6">
        <v>701.45</v>
      </c>
      <c r="K45" s="6">
        <v>-2.0395E-2</v>
      </c>
      <c r="L45" s="6">
        <v>97.724999999999994</v>
      </c>
      <c r="M45" s="6">
        <v>0.11663999999999999</v>
      </c>
      <c r="N45" s="6">
        <v>5.7771000000000003E-3</v>
      </c>
      <c r="O45" s="6" t="s">
        <v>17</v>
      </c>
    </row>
    <row r="46" spans="1:15" ht="17" x14ac:dyDescent="0.35">
      <c r="A46" s="14">
        <v>91.894999999999996</v>
      </c>
      <c r="B46" s="11">
        <v>4.2252000000000001</v>
      </c>
      <c r="C46" s="6">
        <v>26.241</v>
      </c>
      <c r="D46" s="6">
        <v>3.8108999999999997E-2</v>
      </c>
      <c r="E46" s="6">
        <v>-2.5768</v>
      </c>
      <c r="F46" s="6">
        <v>-2.5607000000000002</v>
      </c>
      <c r="G46" s="6">
        <v>89.406999999999996</v>
      </c>
      <c r="H46" s="6">
        <v>28.338999999999999</v>
      </c>
      <c r="I46" s="6">
        <v>60.646999999999998</v>
      </c>
      <c r="J46" s="6">
        <v>698.25</v>
      </c>
      <c r="K46" s="6">
        <v>-1.9977999999999999E-2</v>
      </c>
      <c r="L46" s="6">
        <v>96.838999999999999</v>
      </c>
      <c r="M46" s="6">
        <v>0.11607000000000001</v>
      </c>
      <c r="N46" s="6">
        <v>5.7165999999999996E-3</v>
      </c>
      <c r="O46" s="6" t="s">
        <v>17</v>
      </c>
    </row>
    <row r="47" spans="1:15" ht="17" x14ac:dyDescent="0.35">
      <c r="A47" s="14">
        <v>92.180999999999997</v>
      </c>
      <c r="B47" s="11">
        <v>4.3251999999999997</v>
      </c>
      <c r="C47" s="6">
        <v>26.187000000000001</v>
      </c>
      <c r="D47" s="6">
        <v>3.8188E-2</v>
      </c>
      <c r="E47" s="6">
        <v>-2.5596999999999999</v>
      </c>
      <c r="F47" s="6">
        <v>-2.5432000000000001</v>
      </c>
      <c r="G47" s="6">
        <v>89.593000000000004</v>
      </c>
      <c r="H47" s="6">
        <v>28.306999999999999</v>
      </c>
      <c r="I47" s="6">
        <v>60.758000000000003</v>
      </c>
      <c r="J47" s="6">
        <v>695.08</v>
      </c>
      <c r="K47" s="6">
        <v>-1.9562E-2</v>
      </c>
      <c r="L47" s="6">
        <v>95.977000000000004</v>
      </c>
      <c r="M47" s="6">
        <v>0.11551</v>
      </c>
      <c r="N47" s="6">
        <v>5.6572000000000002E-3</v>
      </c>
      <c r="O47" s="6" t="s">
        <v>17</v>
      </c>
    </row>
    <row r="48" spans="1:15" ht="17" x14ac:dyDescent="0.35">
      <c r="A48" s="14">
        <v>92.462999999999994</v>
      </c>
      <c r="B48" s="11">
        <v>4.4252000000000002</v>
      </c>
      <c r="C48" s="6">
        <v>26.132999999999999</v>
      </c>
      <c r="D48" s="6">
        <v>3.8266000000000001E-2</v>
      </c>
      <c r="E48" s="6">
        <v>-2.5428999999999999</v>
      </c>
      <c r="F48" s="6">
        <v>-2.5259999999999998</v>
      </c>
      <c r="G48" s="6">
        <v>89.775000000000006</v>
      </c>
      <c r="H48" s="6">
        <v>28.274999999999999</v>
      </c>
      <c r="I48" s="6">
        <v>60.869</v>
      </c>
      <c r="J48" s="6">
        <v>691.97</v>
      </c>
      <c r="K48" s="6">
        <v>-1.9144000000000001E-2</v>
      </c>
      <c r="L48" s="6">
        <v>95.141000000000005</v>
      </c>
      <c r="M48" s="6">
        <v>0.11495</v>
      </c>
      <c r="N48" s="6">
        <v>5.5989999999999998E-3</v>
      </c>
      <c r="O48" s="6" t="s">
        <v>17</v>
      </c>
    </row>
    <row r="49" spans="1:15" ht="17" x14ac:dyDescent="0.35">
      <c r="A49" s="14">
        <v>92.739000000000004</v>
      </c>
      <c r="B49" s="11">
        <v>4.5251999999999999</v>
      </c>
      <c r="C49" s="6">
        <v>26.08</v>
      </c>
      <c r="D49" s="6">
        <v>3.8343000000000002E-2</v>
      </c>
      <c r="E49" s="6">
        <v>-2.5264000000000002</v>
      </c>
      <c r="F49" s="6">
        <v>-2.5089999999999999</v>
      </c>
      <c r="G49" s="6">
        <v>89.953999999999994</v>
      </c>
      <c r="H49" s="6">
        <v>28.244</v>
      </c>
      <c r="I49" s="6">
        <v>60.98</v>
      </c>
      <c r="J49" s="6">
        <v>688.9</v>
      </c>
      <c r="K49" s="6">
        <v>-1.8727000000000001E-2</v>
      </c>
      <c r="L49" s="6">
        <v>94.326999999999998</v>
      </c>
      <c r="M49" s="6">
        <v>0.11441</v>
      </c>
      <c r="N49" s="6">
        <v>5.5418999999999998E-3</v>
      </c>
      <c r="O49" s="6" t="s">
        <v>17</v>
      </c>
    </row>
    <row r="50" spans="1:15" ht="17" x14ac:dyDescent="0.35">
      <c r="A50" s="14">
        <v>93.010999999999996</v>
      </c>
      <c r="B50" s="11">
        <v>4.6252000000000004</v>
      </c>
      <c r="C50" s="6">
        <v>26.027999999999999</v>
      </c>
      <c r="D50" s="6">
        <v>3.8420000000000003E-2</v>
      </c>
      <c r="E50" s="6">
        <v>-2.5101</v>
      </c>
      <c r="F50" s="6">
        <v>-2.4923000000000002</v>
      </c>
      <c r="G50" s="6">
        <v>90.13</v>
      </c>
      <c r="H50" s="6">
        <v>28.213000000000001</v>
      </c>
      <c r="I50" s="6">
        <v>61.091999999999999</v>
      </c>
      <c r="J50" s="6">
        <v>685.87</v>
      </c>
      <c r="K50" s="6">
        <v>-1.8308999999999999E-2</v>
      </c>
      <c r="L50" s="6">
        <v>93.534999999999997</v>
      </c>
      <c r="M50" s="6">
        <v>0.11387</v>
      </c>
      <c r="N50" s="6">
        <v>5.4856999999999996E-3</v>
      </c>
      <c r="O50" s="6" t="s">
        <v>17</v>
      </c>
    </row>
    <row r="51" spans="1:15" ht="17" x14ac:dyDescent="0.35">
      <c r="A51" s="14">
        <v>93.278999999999996</v>
      </c>
      <c r="B51" s="11">
        <v>4.7252000000000001</v>
      </c>
      <c r="C51" s="6">
        <v>25.975999999999999</v>
      </c>
      <c r="D51" s="6">
        <v>3.8497000000000003E-2</v>
      </c>
      <c r="E51" s="6">
        <v>-2.4940000000000002</v>
      </c>
      <c r="F51" s="6">
        <v>-2.4758</v>
      </c>
      <c r="G51" s="6">
        <v>90.302999999999997</v>
      </c>
      <c r="H51" s="6">
        <v>28.184000000000001</v>
      </c>
      <c r="I51" s="6">
        <v>61.204999999999998</v>
      </c>
      <c r="J51" s="6">
        <v>682.88</v>
      </c>
      <c r="K51" s="6">
        <v>-1.789E-2</v>
      </c>
      <c r="L51" s="6">
        <v>92.763999999999996</v>
      </c>
      <c r="M51" s="6">
        <v>0.11334</v>
      </c>
      <c r="N51" s="6">
        <v>5.4305999999999998E-3</v>
      </c>
      <c r="O51" s="6" t="s">
        <v>17</v>
      </c>
    </row>
    <row r="52" spans="1:15" ht="17" x14ac:dyDescent="0.35">
      <c r="A52" s="14">
        <v>93.543000000000006</v>
      </c>
      <c r="B52" s="11">
        <v>4.8251999999999997</v>
      </c>
      <c r="C52" s="6">
        <v>25.925000000000001</v>
      </c>
      <c r="D52" s="6">
        <v>3.8572000000000002E-2</v>
      </c>
      <c r="E52" s="6">
        <v>-2.4781</v>
      </c>
      <c r="F52" s="6">
        <v>-2.4594999999999998</v>
      </c>
      <c r="G52" s="6">
        <v>90.472999999999999</v>
      </c>
      <c r="H52" s="6">
        <v>28.155000000000001</v>
      </c>
      <c r="I52" s="6">
        <v>61.317999999999998</v>
      </c>
      <c r="J52" s="6">
        <v>679.93</v>
      </c>
      <c r="K52" s="6">
        <v>-1.7471E-2</v>
      </c>
      <c r="L52" s="6">
        <v>92.013000000000005</v>
      </c>
      <c r="M52" s="6">
        <v>0.11282</v>
      </c>
      <c r="N52" s="6">
        <v>5.3763999999999999E-3</v>
      </c>
      <c r="O52" s="6" t="s">
        <v>17</v>
      </c>
    </row>
    <row r="53" spans="1:15" ht="17" x14ac:dyDescent="0.35">
      <c r="A53" s="14">
        <v>93.802999999999997</v>
      </c>
      <c r="B53" s="11">
        <v>4.9252000000000002</v>
      </c>
      <c r="C53" s="6">
        <v>25.875</v>
      </c>
      <c r="D53" s="6">
        <v>3.8648000000000002E-2</v>
      </c>
      <c r="E53" s="6">
        <v>-2.4624999999999999</v>
      </c>
      <c r="F53" s="6">
        <v>-2.4434999999999998</v>
      </c>
      <c r="G53" s="6">
        <v>90.64</v>
      </c>
      <c r="H53" s="6">
        <v>28.126999999999999</v>
      </c>
      <c r="I53" s="6">
        <v>61.430999999999997</v>
      </c>
      <c r="J53" s="6">
        <v>677.01</v>
      </c>
      <c r="K53" s="6">
        <v>-1.7051E-2</v>
      </c>
      <c r="L53" s="6">
        <v>91.281000000000006</v>
      </c>
      <c r="M53" s="6">
        <v>0.11230999999999999</v>
      </c>
      <c r="N53" s="6">
        <v>5.3230999999999999E-3</v>
      </c>
      <c r="O53" s="6" t="s">
        <v>17</v>
      </c>
    </row>
    <row r="54" spans="1:15" ht="17" x14ac:dyDescent="0.35">
      <c r="A54" s="14">
        <v>94.058999999999997</v>
      </c>
      <c r="B54" s="11">
        <v>5.0251999999999999</v>
      </c>
      <c r="C54" s="6">
        <v>25.824999999999999</v>
      </c>
      <c r="D54" s="6">
        <v>3.8721999999999999E-2</v>
      </c>
      <c r="E54" s="6">
        <v>-2.4470999999999998</v>
      </c>
      <c r="F54" s="6">
        <v>-2.4276</v>
      </c>
      <c r="G54" s="6">
        <v>90.805000000000007</v>
      </c>
      <c r="H54" s="6">
        <v>28.1</v>
      </c>
      <c r="I54" s="6">
        <v>61.545000000000002</v>
      </c>
      <c r="J54" s="6">
        <v>674.13</v>
      </c>
      <c r="K54" s="6">
        <v>-1.6629999999999999E-2</v>
      </c>
      <c r="L54" s="6">
        <v>90.566999999999993</v>
      </c>
      <c r="M54" s="6">
        <v>0.11181000000000001</v>
      </c>
      <c r="N54" s="6">
        <v>5.2706999999999997E-3</v>
      </c>
      <c r="O54" s="6" t="s">
        <v>17</v>
      </c>
    </row>
    <row r="55" spans="1:15" ht="17" x14ac:dyDescent="0.35">
      <c r="A55" s="14">
        <v>94.311999999999998</v>
      </c>
      <c r="B55" s="11">
        <v>5.1252000000000004</v>
      </c>
      <c r="C55" s="6">
        <v>25.774999999999999</v>
      </c>
      <c r="D55" s="6">
        <v>3.8796999999999998E-2</v>
      </c>
      <c r="E55" s="6">
        <v>-2.4318</v>
      </c>
      <c r="F55" s="6">
        <v>-2.4119999999999999</v>
      </c>
      <c r="G55" s="6">
        <v>90.966999999999999</v>
      </c>
      <c r="H55" s="6">
        <v>28.073</v>
      </c>
      <c r="I55" s="6">
        <v>61.66</v>
      </c>
      <c r="J55" s="6">
        <v>671.29</v>
      </c>
      <c r="K55" s="6">
        <v>-1.6209000000000001E-2</v>
      </c>
      <c r="L55" s="6">
        <v>89.87</v>
      </c>
      <c r="M55" s="6">
        <v>0.11131000000000001</v>
      </c>
      <c r="N55" s="6">
        <v>5.2192000000000002E-3</v>
      </c>
      <c r="O55" s="6" t="s">
        <v>17</v>
      </c>
    </row>
    <row r="56" spans="1:15" ht="17" x14ac:dyDescent="0.35">
      <c r="A56" s="14">
        <v>94.561000000000007</v>
      </c>
      <c r="B56" s="11">
        <v>5.2252000000000001</v>
      </c>
      <c r="C56" s="6">
        <v>25.727</v>
      </c>
      <c r="D56" s="6">
        <v>3.8870000000000002E-2</v>
      </c>
      <c r="E56" s="6">
        <v>-2.4167999999999998</v>
      </c>
      <c r="F56" s="6">
        <v>-2.3965000000000001</v>
      </c>
      <c r="G56" s="6">
        <v>91.126999999999995</v>
      </c>
      <c r="H56" s="6">
        <v>28.047000000000001</v>
      </c>
      <c r="I56" s="6">
        <v>61.774999999999999</v>
      </c>
      <c r="J56" s="6">
        <v>668.48</v>
      </c>
      <c r="K56" s="6">
        <v>-1.5786999999999999E-2</v>
      </c>
      <c r="L56" s="6">
        <v>89.188999999999993</v>
      </c>
      <c r="M56" s="6">
        <v>0.11082</v>
      </c>
      <c r="N56" s="6">
        <v>5.1685000000000004E-3</v>
      </c>
      <c r="O56" s="6" t="s">
        <v>17</v>
      </c>
    </row>
    <row r="57" spans="1:15" ht="17" x14ac:dyDescent="0.35">
      <c r="A57" s="14">
        <v>94.805999999999997</v>
      </c>
      <c r="B57" s="11">
        <v>5.3251999999999997</v>
      </c>
      <c r="C57" s="6">
        <v>25.678000000000001</v>
      </c>
      <c r="D57" s="6">
        <v>3.8942999999999998E-2</v>
      </c>
      <c r="E57" s="6">
        <v>-2.4020000000000001</v>
      </c>
      <c r="F57" s="6">
        <v>-2.3812000000000002</v>
      </c>
      <c r="G57" s="6">
        <v>91.284000000000006</v>
      </c>
      <c r="H57" s="6">
        <v>28.021000000000001</v>
      </c>
      <c r="I57" s="6">
        <v>61.89</v>
      </c>
      <c r="J57" s="6">
        <v>665.7</v>
      </c>
      <c r="K57" s="6">
        <v>-1.5363999999999999E-2</v>
      </c>
      <c r="L57" s="6">
        <v>88.525000000000006</v>
      </c>
      <c r="M57" s="6">
        <v>0.11033999999999999</v>
      </c>
      <c r="N57" s="6">
        <v>5.1184999999999998E-3</v>
      </c>
      <c r="O57" s="6" t="s">
        <v>17</v>
      </c>
    </row>
    <row r="58" spans="1:15" ht="17" x14ac:dyDescent="0.35">
      <c r="A58" s="14">
        <v>95.048000000000002</v>
      </c>
      <c r="B58" s="11">
        <v>5.4252000000000002</v>
      </c>
      <c r="C58" s="6">
        <v>25.63</v>
      </c>
      <c r="D58" s="6">
        <v>3.9016000000000002E-2</v>
      </c>
      <c r="E58" s="6">
        <v>-2.3873000000000002</v>
      </c>
      <c r="F58" s="6">
        <v>-2.3660999999999999</v>
      </c>
      <c r="G58" s="6">
        <v>91.438999999999993</v>
      </c>
      <c r="H58" s="6">
        <v>27.995999999999999</v>
      </c>
      <c r="I58" s="6">
        <v>62.006</v>
      </c>
      <c r="J58" s="6">
        <v>662.96</v>
      </c>
      <c r="K58" s="6">
        <v>-1.494E-2</v>
      </c>
      <c r="L58" s="6">
        <v>87.875</v>
      </c>
      <c r="M58" s="6">
        <v>0.10986</v>
      </c>
      <c r="N58" s="6">
        <v>5.0693999999999999E-3</v>
      </c>
      <c r="O58" s="6" t="s">
        <v>17</v>
      </c>
    </row>
    <row r="59" spans="1:15" ht="17" x14ac:dyDescent="0.35">
      <c r="A59" s="14">
        <v>95.287000000000006</v>
      </c>
      <c r="B59" s="11">
        <v>5.5251999999999999</v>
      </c>
      <c r="C59" s="6">
        <v>25.582999999999998</v>
      </c>
      <c r="D59" s="6">
        <v>3.9088999999999999E-2</v>
      </c>
      <c r="E59" s="6">
        <v>-2.3727999999999998</v>
      </c>
      <c r="F59" s="6">
        <v>-2.3512</v>
      </c>
      <c r="G59" s="6">
        <v>91.590999999999994</v>
      </c>
      <c r="H59" s="6">
        <v>27.972000000000001</v>
      </c>
      <c r="I59" s="6">
        <v>62.122999999999998</v>
      </c>
      <c r="J59" s="6">
        <v>660.24</v>
      </c>
      <c r="K59" s="6">
        <v>-1.4515E-2</v>
      </c>
      <c r="L59" s="6">
        <v>87.24</v>
      </c>
      <c r="M59" s="6">
        <v>0.10939</v>
      </c>
      <c r="N59" s="6">
        <v>5.0210000000000003E-3</v>
      </c>
      <c r="O59" s="6" t="s">
        <v>17</v>
      </c>
    </row>
    <row r="60" spans="1:15" ht="17" x14ac:dyDescent="0.35">
      <c r="A60" s="14">
        <v>95.522999999999996</v>
      </c>
      <c r="B60" s="11">
        <v>5.6252000000000004</v>
      </c>
      <c r="C60" s="6">
        <v>25.536000000000001</v>
      </c>
      <c r="D60" s="6">
        <v>3.916E-2</v>
      </c>
      <c r="E60" s="6">
        <v>-2.3584999999999998</v>
      </c>
      <c r="F60" s="6">
        <v>-2.3365</v>
      </c>
      <c r="G60" s="6">
        <v>91.742000000000004</v>
      </c>
      <c r="H60" s="6">
        <v>27.948</v>
      </c>
      <c r="I60" s="6">
        <v>62.24</v>
      </c>
      <c r="J60" s="6">
        <v>657.55</v>
      </c>
      <c r="K60" s="6">
        <v>-1.4089000000000001E-2</v>
      </c>
      <c r="L60" s="6">
        <v>86.619</v>
      </c>
      <c r="M60" s="6">
        <v>0.10893</v>
      </c>
      <c r="N60" s="6">
        <v>4.9732999999999999E-3</v>
      </c>
      <c r="O60" s="6" t="s">
        <v>17</v>
      </c>
    </row>
    <row r="61" spans="1:15" ht="17" x14ac:dyDescent="0.35">
      <c r="A61" s="14">
        <v>95.756</v>
      </c>
      <c r="B61" s="11">
        <v>5.7252000000000001</v>
      </c>
      <c r="C61" s="6">
        <v>25.489000000000001</v>
      </c>
      <c r="D61" s="6">
        <v>3.9232000000000003E-2</v>
      </c>
      <c r="E61" s="6">
        <v>-2.3443000000000001</v>
      </c>
      <c r="F61" s="6">
        <v>-2.3218999999999999</v>
      </c>
      <c r="G61" s="6">
        <v>91.89</v>
      </c>
      <c r="H61" s="6">
        <v>27.925000000000001</v>
      </c>
      <c r="I61" s="6">
        <v>62.357999999999997</v>
      </c>
      <c r="J61" s="6">
        <v>654.89</v>
      </c>
      <c r="K61" s="6">
        <v>-1.3662000000000001E-2</v>
      </c>
      <c r="L61" s="6">
        <v>86.010999999999996</v>
      </c>
      <c r="M61" s="6">
        <v>0.10847</v>
      </c>
      <c r="N61" s="6">
        <v>4.9262999999999998E-3</v>
      </c>
      <c r="O61" s="6" t="s">
        <v>17</v>
      </c>
    </row>
    <row r="62" spans="1:15" ht="17" x14ac:dyDescent="0.35">
      <c r="A62" s="14">
        <v>95.984999999999999</v>
      </c>
      <c r="B62" s="11">
        <v>5.8251999999999997</v>
      </c>
      <c r="C62" s="6">
        <v>25.443000000000001</v>
      </c>
      <c r="D62" s="6">
        <v>3.9302999999999998E-2</v>
      </c>
      <c r="E62" s="6">
        <v>-2.3302999999999998</v>
      </c>
      <c r="F62" s="6">
        <v>-2.3073999999999999</v>
      </c>
      <c r="G62" s="6">
        <v>92.037000000000006</v>
      </c>
      <c r="H62" s="6">
        <v>27.902000000000001</v>
      </c>
      <c r="I62" s="6">
        <v>62.476999999999997</v>
      </c>
      <c r="J62" s="6">
        <v>652.26</v>
      </c>
      <c r="K62" s="6">
        <v>-1.3233999999999999E-2</v>
      </c>
      <c r="L62" s="6">
        <v>85.415000000000006</v>
      </c>
      <c r="M62" s="6">
        <v>0.10800999999999999</v>
      </c>
      <c r="N62" s="6">
        <v>4.8799999999999998E-3</v>
      </c>
      <c r="O62" s="6" t="s">
        <v>17</v>
      </c>
    </row>
    <row r="63" spans="1:15" ht="17" x14ac:dyDescent="0.35">
      <c r="A63" s="14">
        <v>96.212000000000003</v>
      </c>
      <c r="B63" s="11">
        <v>5.9252000000000002</v>
      </c>
      <c r="C63" s="6">
        <v>25.398</v>
      </c>
      <c r="D63" s="6">
        <v>3.9373999999999999E-2</v>
      </c>
      <c r="E63" s="6">
        <v>-2.3165</v>
      </c>
      <c r="F63" s="6">
        <v>-2.2932000000000001</v>
      </c>
      <c r="G63" s="6">
        <v>92.180999999999997</v>
      </c>
      <c r="H63" s="6">
        <v>27.879000000000001</v>
      </c>
      <c r="I63" s="6">
        <v>62.595999999999997</v>
      </c>
      <c r="J63" s="6">
        <v>649.65</v>
      </c>
      <c r="K63" s="6">
        <v>-1.2805E-2</v>
      </c>
      <c r="L63" s="6">
        <v>84.831999999999994</v>
      </c>
      <c r="M63" s="6">
        <v>0.10757</v>
      </c>
      <c r="N63" s="6">
        <v>4.8342999999999997E-3</v>
      </c>
      <c r="O63" s="6" t="s">
        <v>17</v>
      </c>
    </row>
    <row r="64" spans="1:15" ht="17" x14ac:dyDescent="0.35">
      <c r="A64" s="14">
        <v>96.436999999999998</v>
      </c>
      <c r="B64" s="11">
        <v>6.0251999999999999</v>
      </c>
      <c r="C64" s="6">
        <v>25.352</v>
      </c>
      <c r="D64" s="6">
        <v>3.9444E-2</v>
      </c>
      <c r="E64" s="6">
        <v>-2.3028</v>
      </c>
      <c r="F64" s="6">
        <v>-2.2789999999999999</v>
      </c>
      <c r="G64" s="6">
        <v>92.323999999999998</v>
      </c>
      <c r="H64" s="6">
        <v>27.858000000000001</v>
      </c>
      <c r="I64" s="6">
        <v>62.716000000000001</v>
      </c>
      <c r="J64" s="6">
        <v>647.07000000000005</v>
      </c>
      <c r="K64" s="6">
        <v>-1.2374E-2</v>
      </c>
      <c r="L64" s="6">
        <v>84.260999999999996</v>
      </c>
      <c r="M64" s="6">
        <v>0.10713</v>
      </c>
      <c r="N64" s="6">
        <v>4.7892999999999998E-3</v>
      </c>
      <c r="O64" s="6" t="s">
        <v>17</v>
      </c>
    </row>
    <row r="65" spans="1:15" ht="17" x14ac:dyDescent="0.35">
      <c r="A65" s="14">
        <v>96.658000000000001</v>
      </c>
      <c r="B65" s="11">
        <v>6.1252000000000004</v>
      </c>
      <c r="C65" s="6">
        <v>25.306999999999999</v>
      </c>
      <c r="D65" s="6">
        <v>3.9514000000000001E-2</v>
      </c>
      <c r="E65" s="6">
        <v>-2.2892000000000001</v>
      </c>
      <c r="F65" s="6">
        <v>-2.2650000000000001</v>
      </c>
      <c r="G65" s="6">
        <v>92.465000000000003</v>
      </c>
      <c r="H65" s="6">
        <v>27.835999999999999</v>
      </c>
      <c r="I65" s="6">
        <v>62.835999999999999</v>
      </c>
      <c r="J65" s="6">
        <v>644.52</v>
      </c>
      <c r="K65" s="6">
        <v>-1.1943E-2</v>
      </c>
      <c r="L65" s="6">
        <v>83.700999999999993</v>
      </c>
      <c r="M65" s="6">
        <v>0.10668999999999999</v>
      </c>
      <c r="N65" s="6">
        <v>4.7448999999999998E-3</v>
      </c>
      <c r="O65" s="6" t="s">
        <v>17</v>
      </c>
    </row>
    <row r="66" spans="1:15" ht="17" x14ac:dyDescent="0.35">
      <c r="A66" s="14">
        <v>96.876999999999995</v>
      </c>
      <c r="B66" s="11">
        <v>6.2252000000000001</v>
      </c>
      <c r="C66" s="6">
        <v>25.263000000000002</v>
      </c>
      <c r="D66" s="6">
        <v>3.9584000000000001E-2</v>
      </c>
      <c r="E66" s="6">
        <v>-2.2757999999999998</v>
      </c>
      <c r="F66" s="6">
        <v>-2.2511999999999999</v>
      </c>
      <c r="G66" s="6">
        <v>92.603999999999999</v>
      </c>
      <c r="H66" s="6">
        <v>27.815000000000001</v>
      </c>
      <c r="I66" s="6">
        <v>62.957000000000001</v>
      </c>
      <c r="J66" s="6">
        <v>641.99</v>
      </c>
      <c r="K66" s="6">
        <v>-1.1509999999999999E-2</v>
      </c>
      <c r="L66" s="6">
        <v>83.152000000000001</v>
      </c>
      <c r="M66" s="6">
        <v>0.10625999999999999</v>
      </c>
      <c r="N66" s="6">
        <v>4.7010999999999997E-3</v>
      </c>
      <c r="O66" s="6" t="s">
        <v>17</v>
      </c>
    </row>
    <row r="67" spans="1:15" ht="17" x14ac:dyDescent="0.35">
      <c r="A67" s="14">
        <v>97.093999999999994</v>
      </c>
      <c r="B67" s="11">
        <v>6.3251999999999997</v>
      </c>
      <c r="C67" s="6">
        <v>25.218</v>
      </c>
      <c r="D67" s="6">
        <v>3.9654000000000002E-2</v>
      </c>
      <c r="E67" s="6">
        <v>-2.2625999999999999</v>
      </c>
      <c r="F67" s="6">
        <v>-2.2374999999999998</v>
      </c>
      <c r="G67" s="6">
        <v>92.741</v>
      </c>
      <c r="H67" s="6">
        <v>27.795000000000002</v>
      </c>
      <c r="I67" s="6">
        <v>63.079000000000001</v>
      </c>
      <c r="J67" s="6">
        <v>639.48</v>
      </c>
      <c r="K67" s="6">
        <v>-1.1076000000000001E-2</v>
      </c>
      <c r="L67" s="6">
        <v>82.614000000000004</v>
      </c>
      <c r="M67" s="6">
        <v>0.10582999999999999</v>
      </c>
      <c r="N67" s="6">
        <v>4.6579000000000004E-3</v>
      </c>
      <c r="O67" s="6" t="s">
        <v>17</v>
      </c>
    </row>
    <row r="68" spans="1:15" ht="17" x14ac:dyDescent="0.35">
      <c r="A68" s="14">
        <v>97.308000000000007</v>
      </c>
      <c r="B68" s="11">
        <v>6.4252000000000002</v>
      </c>
      <c r="C68" s="6">
        <v>25.173999999999999</v>
      </c>
      <c r="D68" s="6">
        <v>3.9723000000000001E-2</v>
      </c>
      <c r="E68" s="6">
        <v>-2.2494000000000001</v>
      </c>
      <c r="F68" s="6">
        <v>-2.2239</v>
      </c>
      <c r="G68" s="6">
        <v>92.876999999999995</v>
      </c>
      <c r="H68" s="6">
        <v>27.774999999999999</v>
      </c>
      <c r="I68" s="6">
        <v>63.201000000000001</v>
      </c>
      <c r="J68" s="6">
        <v>637</v>
      </c>
      <c r="K68" s="6">
        <v>-1.064E-2</v>
      </c>
      <c r="L68" s="6">
        <v>82.085999999999999</v>
      </c>
      <c r="M68" s="6">
        <v>0.10541</v>
      </c>
      <c r="N68" s="6">
        <v>4.6153000000000001E-3</v>
      </c>
      <c r="O68" s="6" t="s">
        <v>17</v>
      </c>
    </row>
    <row r="69" spans="1:15" ht="17" x14ac:dyDescent="0.35">
      <c r="A69" s="14">
        <v>97.519000000000005</v>
      </c>
      <c r="B69" s="11">
        <v>6.5251999999999999</v>
      </c>
      <c r="C69" s="6">
        <v>25.131</v>
      </c>
      <c r="D69" s="6">
        <v>3.9792000000000001E-2</v>
      </c>
      <c r="E69" s="6">
        <v>-2.2364000000000002</v>
      </c>
      <c r="F69" s="6">
        <v>-2.2105000000000001</v>
      </c>
      <c r="G69" s="6">
        <v>93.010999999999996</v>
      </c>
      <c r="H69" s="6">
        <v>27.754999999999999</v>
      </c>
      <c r="I69" s="6">
        <v>63.323999999999998</v>
      </c>
      <c r="J69" s="6">
        <v>634.53</v>
      </c>
      <c r="K69" s="6">
        <v>-1.0203E-2</v>
      </c>
      <c r="L69" s="6">
        <v>81.566999999999993</v>
      </c>
      <c r="M69" s="6">
        <v>0.10499</v>
      </c>
      <c r="N69" s="6">
        <v>4.5732000000000004E-3</v>
      </c>
      <c r="O69" s="6" t="s">
        <v>17</v>
      </c>
    </row>
    <row r="70" spans="1:15" ht="17" x14ac:dyDescent="0.35">
      <c r="A70" s="14">
        <v>97.728999999999999</v>
      </c>
      <c r="B70" s="11">
        <v>6.6252000000000004</v>
      </c>
      <c r="C70" s="6">
        <v>25.088000000000001</v>
      </c>
      <c r="D70" s="6">
        <v>3.986E-2</v>
      </c>
      <c r="E70" s="6">
        <v>-2.2235</v>
      </c>
      <c r="F70" s="6">
        <v>-2.1970999999999998</v>
      </c>
      <c r="G70" s="6">
        <v>93.143000000000001</v>
      </c>
      <c r="H70" s="6">
        <v>27.736000000000001</v>
      </c>
      <c r="I70" s="6">
        <v>63.448</v>
      </c>
      <c r="J70" s="6">
        <v>632.09</v>
      </c>
      <c r="K70" s="6">
        <v>-9.7645000000000006E-3</v>
      </c>
      <c r="L70" s="6">
        <v>81.058000000000007</v>
      </c>
      <c r="M70" s="6">
        <v>0.10458000000000001</v>
      </c>
      <c r="N70" s="6">
        <v>4.5316000000000002E-3</v>
      </c>
      <c r="O70" s="6" t="s">
        <v>17</v>
      </c>
    </row>
    <row r="71" spans="1:15" ht="17" x14ac:dyDescent="0.35">
      <c r="A71" s="14">
        <v>97.936000000000007</v>
      </c>
      <c r="B71" s="11">
        <v>6.7252000000000001</v>
      </c>
      <c r="C71" s="6">
        <v>25.045000000000002</v>
      </c>
      <c r="D71" s="6">
        <v>3.9928999999999999E-2</v>
      </c>
      <c r="E71" s="6">
        <v>-2.2107999999999999</v>
      </c>
      <c r="F71" s="6">
        <v>-2.1839</v>
      </c>
      <c r="G71" s="6">
        <v>93.274000000000001</v>
      </c>
      <c r="H71" s="6">
        <v>27.716999999999999</v>
      </c>
      <c r="I71" s="6">
        <v>63.572000000000003</v>
      </c>
      <c r="J71" s="6">
        <v>629.66999999999996</v>
      </c>
      <c r="K71" s="6">
        <v>-9.3246000000000006E-3</v>
      </c>
      <c r="L71" s="6">
        <v>80.558000000000007</v>
      </c>
      <c r="M71" s="6">
        <v>0.10417</v>
      </c>
      <c r="N71" s="6">
        <v>4.4906E-3</v>
      </c>
      <c r="O71" s="6" t="s">
        <v>17</v>
      </c>
    </row>
    <row r="72" spans="1:15" ht="17" x14ac:dyDescent="0.35">
      <c r="A72" s="14">
        <v>98.141000000000005</v>
      </c>
      <c r="B72" s="11">
        <v>6.8251999999999997</v>
      </c>
      <c r="C72" s="6">
        <v>25.001999999999999</v>
      </c>
      <c r="D72" s="6">
        <v>3.9996999999999998E-2</v>
      </c>
      <c r="E72" s="6">
        <v>-2.1981000000000002</v>
      </c>
      <c r="F72" s="6">
        <v>-2.1707999999999998</v>
      </c>
      <c r="G72" s="6">
        <v>93.403999999999996</v>
      </c>
      <c r="H72" s="6">
        <v>27.699000000000002</v>
      </c>
      <c r="I72" s="6">
        <v>63.698</v>
      </c>
      <c r="J72" s="6">
        <v>627.27</v>
      </c>
      <c r="K72" s="6">
        <v>-8.8833000000000002E-3</v>
      </c>
      <c r="L72" s="6">
        <v>80.066999999999993</v>
      </c>
      <c r="M72" s="6">
        <v>0.10377</v>
      </c>
      <c r="N72" s="6">
        <v>4.4501000000000002E-3</v>
      </c>
      <c r="O72" s="6" t="s">
        <v>17</v>
      </c>
    </row>
    <row r="73" spans="1:15" ht="17" x14ac:dyDescent="0.35">
      <c r="A73" s="14">
        <v>98.343000000000004</v>
      </c>
      <c r="B73" s="11">
        <v>6.9252000000000002</v>
      </c>
      <c r="C73" s="6">
        <v>24.96</v>
      </c>
      <c r="D73" s="6">
        <v>4.0064000000000002E-2</v>
      </c>
      <c r="E73" s="6">
        <v>-2.1856</v>
      </c>
      <c r="F73" s="6">
        <v>-2.1577999999999999</v>
      </c>
      <c r="G73" s="6">
        <v>93.531999999999996</v>
      </c>
      <c r="H73" s="6">
        <v>27.681000000000001</v>
      </c>
      <c r="I73" s="6">
        <v>63.823</v>
      </c>
      <c r="J73" s="6">
        <v>624.89</v>
      </c>
      <c r="K73" s="6">
        <v>-8.4404000000000007E-3</v>
      </c>
      <c r="L73" s="6">
        <v>79.584000000000003</v>
      </c>
      <c r="M73" s="6">
        <v>0.10337</v>
      </c>
      <c r="N73" s="6">
        <v>4.4099999999999999E-3</v>
      </c>
      <c r="O73" s="6" t="s">
        <v>17</v>
      </c>
    </row>
    <row r="74" spans="1:15" ht="17" x14ac:dyDescent="0.35">
      <c r="A74" s="14">
        <v>98.543999999999997</v>
      </c>
      <c r="B74" s="11">
        <v>7.0251999999999999</v>
      </c>
      <c r="C74" s="6">
        <v>24.917999999999999</v>
      </c>
      <c r="D74" s="6">
        <v>4.0132000000000001E-2</v>
      </c>
      <c r="E74" s="6">
        <v>-2.1732</v>
      </c>
      <c r="F74" s="6">
        <v>-2.145</v>
      </c>
      <c r="G74" s="6">
        <v>93.658000000000001</v>
      </c>
      <c r="H74" s="6">
        <v>27.663</v>
      </c>
      <c r="I74" s="6">
        <v>63.95</v>
      </c>
      <c r="J74" s="6">
        <v>622.53</v>
      </c>
      <c r="K74" s="6">
        <v>-7.9959000000000002E-3</v>
      </c>
      <c r="L74" s="6">
        <v>79.11</v>
      </c>
      <c r="M74" s="6">
        <v>0.10298</v>
      </c>
      <c r="N74" s="6">
        <v>4.3705000000000003E-3</v>
      </c>
      <c r="O74" s="6" t="s">
        <v>17</v>
      </c>
    </row>
    <row r="75" spans="1:15" ht="17" x14ac:dyDescent="0.35">
      <c r="A75" s="14">
        <v>98.742000000000004</v>
      </c>
      <c r="B75" s="11">
        <v>7.1252000000000004</v>
      </c>
      <c r="C75" s="6">
        <v>24.876000000000001</v>
      </c>
      <c r="D75" s="6">
        <v>4.0198999999999999E-2</v>
      </c>
      <c r="E75" s="6">
        <v>-2.1608999999999998</v>
      </c>
      <c r="F75" s="6">
        <v>-2.1322000000000001</v>
      </c>
      <c r="G75" s="6">
        <v>93.783000000000001</v>
      </c>
      <c r="H75" s="6">
        <v>27.646000000000001</v>
      </c>
      <c r="I75" s="6">
        <v>64.076999999999998</v>
      </c>
      <c r="J75" s="6">
        <v>620.19000000000005</v>
      </c>
      <c r="K75" s="6">
        <v>-7.5497999999999997E-3</v>
      </c>
      <c r="L75" s="6">
        <v>78.643000000000001</v>
      </c>
      <c r="M75" s="6">
        <v>0.10259</v>
      </c>
      <c r="N75" s="6">
        <v>4.3314E-3</v>
      </c>
      <c r="O75" s="6" t="s">
        <v>17</v>
      </c>
    </row>
    <row r="76" spans="1:15" ht="17" x14ac:dyDescent="0.35">
      <c r="A76" s="14">
        <v>98.938999999999993</v>
      </c>
      <c r="B76" s="11">
        <v>7.2252000000000001</v>
      </c>
      <c r="C76" s="6">
        <v>24.835000000000001</v>
      </c>
      <c r="D76" s="6">
        <v>4.0266999999999997E-2</v>
      </c>
      <c r="E76" s="6">
        <v>-2.1486999999999998</v>
      </c>
      <c r="F76" s="6">
        <v>-2.1196000000000002</v>
      </c>
      <c r="G76" s="6">
        <v>93.906999999999996</v>
      </c>
      <c r="H76" s="6">
        <v>27.629000000000001</v>
      </c>
      <c r="I76" s="6">
        <v>64.206000000000003</v>
      </c>
      <c r="J76" s="6">
        <v>617.87</v>
      </c>
      <c r="K76" s="6">
        <v>-7.1021000000000001E-3</v>
      </c>
      <c r="L76" s="6">
        <v>78.185000000000002</v>
      </c>
      <c r="M76" s="6">
        <v>0.1022</v>
      </c>
      <c r="N76" s="6">
        <v>4.2928000000000003E-3</v>
      </c>
      <c r="O76" s="6" t="s">
        <v>17</v>
      </c>
    </row>
    <row r="77" spans="1:15" ht="17" x14ac:dyDescent="0.35">
      <c r="A77" s="14">
        <v>99.132999999999996</v>
      </c>
      <c r="B77" s="11">
        <v>7.3251999999999997</v>
      </c>
      <c r="C77" s="6">
        <v>24.792999999999999</v>
      </c>
      <c r="D77" s="6">
        <v>4.0333000000000001E-2</v>
      </c>
      <c r="E77" s="6">
        <v>-2.1366000000000001</v>
      </c>
      <c r="F77" s="6">
        <v>-2.1070000000000002</v>
      </c>
      <c r="G77" s="6">
        <v>94.03</v>
      </c>
      <c r="H77" s="6">
        <v>27.613</v>
      </c>
      <c r="I77" s="6">
        <v>64.334999999999994</v>
      </c>
      <c r="J77" s="6">
        <v>615.55999999999995</v>
      </c>
      <c r="K77" s="6">
        <v>-6.6527000000000001E-3</v>
      </c>
      <c r="L77" s="6">
        <v>77.733000000000004</v>
      </c>
      <c r="M77" s="6">
        <v>0.10181999999999999</v>
      </c>
      <c r="N77" s="6">
        <v>4.2547000000000001E-3</v>
      </c>
      <c r="O77" s="6" t="s">
        <v>17</v>
      </c>
    </row>
    <row r="78" spans="1:15" ht="17" x14ac:dyDescent="0.35">
      <c r="A78" s="14">
        <v>99.325999999999993</v>
      </c>
      <c r="B78" s="11">
        <v>7.4252000000000002</v>
      </c>
      <c r="C78" s="6">
        <v>24.751999999999999</v>
      </c>
      <c r="D78" s="6">
        <v>4.0399999999999998E-2</v>
      </c>
      <c r="E78" s="6">
        <v>-2.1246</v>
      </c>
      <c r="F78" s="6">
        <v>-2.0945999999999998</v>
      </c>
      <c r="G78" s="6">
        <v>94.150999999999996</v>
      </c>
      <c r="H78" s="6">
        <v>27.597000000000001</v>
      </c>
      <c r="I78" s="6">
        <v>64.463999999999999</v>
      </c>
      <c r="J78" s="6">
        <v>613.27</v>
      </c>
      <c r="K78" s="6">
        <v>-6.2015999999999998E-3</v>
      </c>
      <c r="L78" s="6">
        <v>77.289000000000001</v>
      </c>
      <c r="M78" s="6">
        <v>0.10144</v>
      </c>
      <c r="N78" s="6">
        <v>4.2170000000000003E-3</v>
      </c>
      <c r="O78" s="6" t="s">
        <v>17</v>
      </c>
    </row>
    <row r="79" spans="1:15" ht="17" x14ac:dyDescent="0.35">
      <c r="A79" s="14">
        <v>99.516999999999996</v>
      </c>
      <c r="B79" s="11">
        <v>7.5251999999999999</v>
      </c>
      <c r="C79" s="6">
        <v>24.712</v>
      </c>
      <c r="D79" s="6">
        <v>4.0467000000000003E-2</v>
      </c>
      <c r="E79" s="6">
        <v>-2.1126999999999998</v>
      </c>
      <c r="F79" s="6">
        <v>-2.0821999999999998</v>
      </c>
      <c r="G79" s="6">
        <v>94.272000000000006</v>
      </c>
      <c r="H79" s="6">
        <v>27.581</v>
      </c>
      <c r="I79" s="6">
        <v>64.594999999999999</v>
      </c>
      <c r="J79" s="6">
        <v>611</v>
      </c>
      <c r="K79" s="6">
        <v>-5.7488000000000001E-3</v>
      </c>
      <c r="L79" s="6">
        <v>76.852000000000004</v>
      </c>
      <c r="M79" s="6">
        <v>0.10106</v>
      </c>
      <c r="N79" s="6">
        <v>4.1796999999999997E-3</v>
      </c>
      <c r="O79" s="6" t="s">
        <v>17</v>
      </c>
    </row>
    <row r="80" spans="1:15" ht="17" x14ac:dyDescent="0.35">
      <c r="A80" s="14">
        <v>99.706000000000003</v>
      </c>
      <c r="B80" s="11">
        <v>7.6252000000000004</v>
      </c>
      <c r="C80" s="6">
        <v>24.670999999999999</v>
      </c>
      <c r="D80" s="6">
        <v>4.0533E-2</v>
      </c>
      <c r="E80" s="6">
        <v>-2.1009000000000002</v>
      </c>
      <c r="F80" s="6">
        <v>-2.0699999999999998</v>
      </c>
      <c r="G80" s="6">
        <v>94.391000000000005</v>
      </c>
      <c r="H80" s="6">
        <v>27.565000000000001</v>
      </c>
      <c r="I80" s="6">
        <v>64.725999999999999</v>
      </c>
      <c r="J80" s="6">
        <v>608.75</v>
      </c>
      <c r="K80" s="6">
        <v>-5.2941999999999998E-3</v>
      </c>
      <c r="L80" s="6">
        <v>76.421999999999997</v>
      </c>
      <c r="M80" s="6">
        <v>0.10069</v>
      </c>
      <c r="N80" s="6">
        <v>4.1428000000000003E-3</v>
      </c>
      <c r="O80" s="6" t="s">
        <v>17</v>
      </c>
    </row>
    <row r="81" spans="1:15" ht="17" x14ac:dyDescent="0.35">
      <c r="A81" s="14">
        <v>99.893000000000001</v>
      </c>
      <c r="B81" s="11">
        <v>7.7252000000000001</v>
      </c>
      <c r="C81" s="6">
        <v>24.631</v>
      </c>
      <c r="D81" s="6">
        <v>4.0599000000000003E-2</v>
      </c>
      <c r="E81" s="6">
        <v>-2.0891999999999999</v>
      </c>
      <c r="F81" s="6">
        <v>-2.0577999999999999</v>
      </c>
      <c r="G81" s="6">
        <v>94.507999999999996</v>
      </c>
      <c r="H81" s="6">
        <v>27.55</v>
      </c>
      <c r="I81" s="6">
        <v>64.858000000000004</v>
      </c>
      <c r="J81" s="6">
        <v>606.51</v>
      </c>
      <c r="K81" s="6">
        <v>-4.8377999999999997E-3</v>
      </c>
      <c r="L81" s="6">
        <v>75.998999999999995</v>
      </c>
      <c r="M81" s="6">
        <v>0.10032000000000001</v>
      </c>
      <c r="N81" s="6">
        <v>4.1063999999999996E-3</v>
      </c>
      <c r="O81" s="6" t="s">
        <v>17</v>
      </c>
    </row>
    <row r="82" spans="1:15" ht="17" x14ac:dyDescent="0.35">
      <c r="A82" s="14">
        <v>100.08</v>
      </c>
      <c r="B82" s="11">
        <v>7.8251999999999997</v>
      </c>
      <c r="C82" s="6">
        <v>24.591000000000001</v>
      </c>
      <c r="D82" s="6">
        <v>4.0665E-2</v>
      </c>
      <c r="E82" s="6">
        <v>-2.0775999999999999</v>
      </c>
      <c r="F82" s="6">
        <v>-2.0457000000000001</v>
      </c>
      <c r="G82" s="6">
        <v>94.625</v>
      </c>
      <c r="H82" s="6">
        <v>27.535</v>
      </c>
      <c r="I82" s="6">
        <v>64.991</v>
      </c>
      <c r="J82" s="6">
        <v>604.29</v>
      </c>
      <c r="K82" s="6">
        <v>-4.3796E-3</v>
      </c>
      <c r="L82" s="6">
        <v>75.581000000000003</v>
      </c>
      <c r="M82" s="6">
        <v>9.9957000000000004E-2</v>
      </c>
      <c r="N82" s="6">
        <v>4.0702999999999998E-3</v>
      </c>
      <c r="O82" s="6" t="s">
        <v>17</v>
      </c>
    </row>
    <row r="83" spans="1:15" ht="17" x14ac:dyDescent="0.35">
      <c r="A83" s="14">
        <v>100.26</v>
      </c>
      <c r="B83" s="11">
        <v>7.9252000000000002</v>
      </c>
      <c r="C83" s="6">
        <v>24.550999999999998</v>
      </c>
      <c r="D83" s="6">
        <v>4.0731000000000003E-2</v>
      </c>
      <c r="E83" s="6">
        <v>-2.0659999999999998</v>
      </c>
      <c r="F83" s="6">
        <v>-2.0337000000000001</v>
      </c>
      <c r="G83" s="6">
        <v>94.741</v>
      </c>
      <c r="H83" s="6">
        <v>27.521000000000001</v>
      </c>
      <c r="I83" s="6">
        <v>65.125</v>
      </c>
      <c r="J83" s="6">
        <v>602.08000000000004</v>
      </c>
      <c r="K83" s="6">
        <v>-3.9195000000000002E-3</v>
      </c>
      <c r="L83" s="6">
        <v>75.17</v>
      </c>
      <c r="M83" s="6">
        <v>9.9595000000000003E-2</v>
      </c>
      <c r="N83" s="6">
        <v>4.0346000000000002E-3</v>
      </c>
      <c r="O83" s="6" t="s">
        <v>17</v>
      </c>
    </row>
    <row r="84" spans="1:15" ht="17" x14ac:dyDescent="0.35">
      <c r="A84" s="14">
        <v>100.44</v>
      </c>
      <c r="B84" s="11">
        <v>8.0251999999999999</v>
      </c>
      <c r="C84" s="6">
        <v>24.512</v>
      </c>
      <c r="D84" s="6">
        <v>4.0797E-2</v>
      </c>
      <c r="E84" s="6">
        <v>-2.0546000000000002</v>
      </c>
      <c r="F84" s="6">
        <v>-2.0217999999999998</v>
      </c>
      <c r="G84" s="6">
        <v>94.855000000000004</v>
      </c>
      <c r="H84" s="6">
        <v>27.507000000000001</v>
      </c>
      <c r="I84" s="6">
        <v>65.260000000000005</v>
      </c>
      <c r="J84" s="6">
        <v>599.89</v>
      </c>
      <c r="K84" s="6">
        <v>-3.4575000000000001E-3</v>
      </c>
      <c r="L84" s="6">
        <v>74.765000000000001</v>
      </c>
      <c r="M84" s="6">
        <v>9.9237000000000006E-2</v>
      </c>
      <c r="N84" s="6">
        <v>3.9994000000000002E-3</v>
      </c>
      <c r="O84" s="6" t="s">
        <v>17</v>
      </c>
    </row>
    <row r="85" spans="1:15" ht="17" x14ac:dyDescent="0.35">
      <c r="A85" s="14">
        <v>100.62</v>
      </c>
      <c r="B85" s="11">
        <v>8.1251999999999995</v>
      </c>
      <c r="C85" s="6">
        <v>24.472000000000001</v>
      </c>
      <c r="D85" s="6">
        <v>4.0862999999999997E-2</v>
      </c>
      <c r="E85" s="6">
        <v>-2.0432000000000001</v>
      </c>
      <c r="F85" s="6">
        <v>-2.0099999999999998</v>
      </c>
      <c r="G85" s="6">
        <v>94.968999999999994</v>
      </c>
      <c r="H85" s="6">
        <v>27.492999999999999</v>
      </c>
      <c r="I85" s="6">
        <v>65.394999999999996</v>
      </c>
      <c r="J85" s="6">
        <v>597.71</v>
      </c>
      <c r="K85" s="6">
        <v>-2.9935999999999999E-3</v>
      </c>
      <c r="L85" s="6">
        <v>74.366</v>
      </c>
      <c r="M85" s="6">
        <v>9.8881999999999998E-2</v>
      </c>
      <c r="N85" s="6">
        <v>3.9643999999999999E-3</v>
      </c>
      <c r="O85" s="6" t="s">
        <v>17</v>
      </c>
    </row>
    <row r="86" spans="1:15" ht="17" x14ac:dyDescent="0.35">
      <c r="A86" s="14">
        <v>100.8</v>
      </c>
      <c r="B86" s="11">
        <v>8.2251999999999992</v>
      </c>
      <c r="C86" s="6">
        <v>24.433</v>
      </c>
      <c r="D86" s="6">
        <v>4.0927999999999999E-2</v>
      </c>
      <c r="E86" s="6">
        <v>-2.032</v>
      </c>
      <c r="F86" s="6">
        <v>-1.9983</v>
      </c>
      <c r="G86" s="6">
        <v>95.081000000000003</v>
      </c>
      <c r="H86" s="6">
        <v>27.478999999999999</v>
      </c>
      <c r="I86" s="6">
        <v>65.531999999999996</v>
      </c>
      <c r="J86" s="6">
        <v>595.54999999999995</v>
      </c>
      <c r="K86" s="6">
        <v>-2.5276999999999999E-3</v>
      </c>
      <c r="L86" s="6">
        <v>73.971999999999994</v>
      </c>
      <c r="M86" s="6">
        <v>9.8530000000000006E-2</v>
      </c>
      <c r="N86" s="6">
        <v>3.9299000000000001E-3</v>
      </c>
      <c r="O86" s="6" t="s">
        <v>17</v>
      </c>
    </row>
    <row r="87" spans="1:15" ht="17" x14ac:dyDescent="0.35">
      <c r="A87" s="14">
        <v>100.98</v>
      </c>
      <c r="B87" s="11">
        <v>8.3252000000000006</v>
      </c>
      <c r="C87" s="6">
        <v>24.393999999999998</v>
      </c>
      <c r="D87" s="6">
        <v>4.0993000000000002E-2</v>
      </c>
      <c r="E87" s="6">
        <v>-2.0207999999999999</v>
      </c>
      <c r="F87" s="6">
        <v>-1.9866999999999999</v>
      </c>
      <c r="G87" s="6">
        <v>95.191999999999993</v>
      </c>
      <c r="H87" s="6">
        <v>27.466000000000001</v>
      </c>
      <c r="I87" s="6">
        <v>65.668999999999997</v>
      </c>
      <c r="J87" s="6">
        <v>593.4</v>
      </c>
      <c r="K87" s="6">
        <v>-2.0598999999999999E-3</v>
      </c>
      <c r="L87" s="6">
        <v>73.584000000000003</v>
      </c>
      <c r="M87" s="6">
        <v>9.8181000000000004E-2</v>
      </c>
      <c r="N87" s="6">
        <v>3.8957000000000002E-3</v>
      </c>
      <c r="O87" s="6" t="s">
        <v>17</v>
      </c>
    </row>
    <row r="88" spans="1:15" ht="17" x14ac:dyDescent="0.35">
      <c r="A88" s="14">
        <v>101.16</v>
      </c>
      <c r="B88" s="11">
        <v>8.4252000000000002</v>
      </c>
      <c r="C88" s="6">
        <v>24.355</v>
      </c>
      <c r="D88" s="6">
        <v>4.1058999999999998E-2</v>
      </c>
      <c r="E88" s="6">
        <v>-2.0097</v>
      </c>
      <c r="F88" s="6">
        <v>-1.9751000000000001</v>
      </c>
      <c r="G88" s="6">
        <v>95.302999999999997</v>
      </c>
      <c r="H88" s="6">
        <v>27.452999999999999</v>
      </c>
      <c r="I88" s="6">
        <v>65.807000000000002</v>
      </c>
      <c r="J88" s="6">
        <v>591.26</v>
      </c>
      <c r="K88" s="6">
        <v>-1.5900000000000001E-3</v>
      </c>
      <c r="L88" s="6">
        <v>73.201999999999998</v>
      </c>
      <c r="M88" s="6">
        <v>9.7835000000000005E-2</v>
      </c>
      <c r="N88" s="6">
        <v>3.8619000000000001E-3</v>
      </c>
      <c r="O88" s="6" t="s">
        <v>17</v>
      </c>
    </row>
    <row r="89" spans="1:15" ht="17" x14ac:dyDescent="0.35">
      <c r="A89" s="14">
        <v>101.33</v>
      </c>
      <c r="B89" s="11">
        <v>8.5251999999999999</v>
      </c>
      <c r="C89" s="6">
        <v>24.317</v>
      </c>
      <c r="D89" s="6">
        <v>4.1124000000000001E-2</v>
      </c>
      <c r="E89" s="6">
        <v>-1.9985999999999999</v>
      </c>
      <c r="F89" s="6">
        <v>-1.9636</v>
      </c>
      <c r="G89" s="6">
        <v>95.412000000000006</v>
      </c>
      <c r="H89" s="6">
        <v>27.44</v>
      </c>
      <c r="I89" s="6">
        <v>65.945999999999998</v>
      </c>
      <c r="J89" s="6">
        <v>589.14</v>
      </c>
      <c r="K89" s="6">
        <v>-1.1180999999999999E-3</v>
      </c>
      <c r="L89" s="6">
        <v>72.823999999999998</v>
      </c>
      <c r="M89" s="6">
        <v>9.7490999999999994E-2</v>
      </c>
      <c r="N89" s="6">
        <v>3.8284E-3</v>
      </c>
      <c r="O89" s="6" t="s">
        <v>17</v>
      </c>
    </row>
    <row r="90" spans="1:15" ht="17" x14ac:dyDescent="0.35">
      <c r="A90" s="14">
        <v>101.5</v>
      </c>
      <c r="B90" s="11">
        <v>8.6251999999999995</v>
      </c>
      <c r="C90" s="6">
        <v>24.279</v>
      </c>
      <c r="D90" s="6">
        <v>4.1189000000000003E-2</v>
      </c>
      <c r="E90" s="6">
        <v>-1.9877</v>
      </c>
      <c r="F90" s="6">
        <v>-1.9521999999999999</v>
      </c>
      <c r="G90" s="6">
        <v>95.521000000000001</v>
      </c>
      <c r="H90" s="6">
        <v>27.427</v>
      </c>
      <c r="I90" s="6">
        <v>66.085999999999999</v>
      </c>
      <c r="J90" s="6">
        <v>587.03</v>
      </c>
      <c r="K90" s="6">
        <v>-6.4404999999999996E-4</v>
      </c>
      <c r="L90" s="6">
        <v>72.451999999999998</v>
      </c>
      <c r="M90" s="6">
        <v>9.7151000000000001E-2</v>
      </c>
      <c r="N90" s="6">
        <v>3.7953000000000001E-3</v>
      </c>
      <c r="O90" s="6" t="s">
        <v>17</v>
      </c>
    </row>
    <row r="91" spans="1:15" ht="17" x14ac:dyDescent="0.35">
      <c r="A91" s="14">
        <v>101.68</v>
      </c>
      <c r="B91" s="11">
        <v>8.7251999999999992</v>
      </c>
      <c r="C91" s="6">
        <v>24.24</v>
      </c>
      <c r="D91" s="6">
        <v>4.1252999999999998E-2</v>
      </c>
      <c r="E91" s="6">
        <v>-1.9767999999999999</v>
      </c>
      <c r="F91" s="6">
        <v>-1.9408000000000001</v>
      </c>
      <c r="G91" s="6">
        <v>95.628</v>
      </c>
      <c r="H91" s="6">
        <v>27.414999999999999</v>
      </c>
      <c r="I91" s="6">
        <v>66.227000000000004</v>
      </c>
      <c r="J91" s="6">
        <v>584.92999999999995</v>
      </c>
      <c r="K91" s="6">
        <v>-1.6793E-4</v>
      </c>
      <c r="L91" s="6">
        <v>72.084999999999994</v>
      </c>
      <c r="M91" s="6">
        <v>9.6813999999999997E-2</v>
      </c>
      <c r="N91" s="6">
        <v>3.7624999999999998E-3</v>
      </c>
      <c r="O91" s="6" t="s">
        <v>17</v>
      </c>
    </row>
    <row r="92" spans="1:15" ht="17" x14ac:dyDescent="0.35">
      <c r="A92" s="14">
        <v>101.85</v>
      </c>
      <c r="B92" s="11">
        <v>8.8252000000000006</v>
      </c>
      <c r="C92" s="6">
        <v>24.202000000000002</v>
      </c>
      <c r="D92" s="6">
        <v>4.1318000000000001E-2</v>
      </c>
      <c r="E92" s="6">
        <v>-1.966</v>
      </c>
      <c r="F92" s="6">
        <v>-1.9296</v>
      </c>
      <c r="G92" s="6">
        <v>95.734999999999999</v>
      </c>
      <c r="H92" s="6">
        <v>27.402999999999999</v>
      </c>
      <c r="I92" s="6">
        <v>66.369</v>
      </c>
      <c r="J92" s="6">
        <v>582.85</v>
      </c>
      <c r="K92" s="6">
        <v>3.1032E-4</v>
      </c>
      <c r="L92" s="6">
        <v>71.721999999999994</v>
      </c>
      <c r="M92" s="6">
        <v>9.6478999999999995E-2</v>
      </c>
      <c r="N92" s="6">
        <v>3.7299999999999998E-3</v>
      </c>
      <c r="O92" s="6" t="s">
        <v>17</v>
      </c>
    </row>
    <row r="93" spans="1:15" ht="17" x14ac:dyDescent="0.35">
      <c r="A93" s="14">
        <v>102.01</v>
      </c>
      <c r="B93" s="11">
        <v>8.9252000000000002</v>
      </c>
      <c r="C93" s="6">
        <v>24.164999999999999</v>
      </c>
      <c r="D93" s="6">
        <v>4.1383000000000003E-2</v>
      </c>
      <c r="E93" s="6">
        <v>-1.9553</v>
      </c>
      <c r="F93" s="6">
        <v>-1.9184000000000001</v>
      </c>
      <c r="G93" s="6">
        <v>95.840999999999994</v>
      </c>
      <c r="H93" s="6">
        <v>27.390999999999998</v>
      </c>
      <c r="I93" s="6">
        <v>66.512</v>
      </c>
      <c r="J93" s="6">
        <v>580.78</v>
      </c>
      <c r="K93" s="6">
        <v>7.9075E-4</v>
      </c>
      <c r="L93" s="6">
        <v>71.364000000000004</v>
      </c>
      <c r="M93" s="6">
        <v>9.6146999999999996E-2</v>
      </c>
      <c r="N93" s="6">
        <v>3.6977999999999998E-3</v>
      </c>
      <c r="O93" s="6" t="s">
        <v>17</v>
      </c>
    </row>
    <row r="94" spans="1:15" ht="17" x14ac:dyDescent="0.35">
      <c r="A94" s="14">
        <v>102.18</v>
      </c>
      <c r="B94" s="11">
        <v>9.0251999999999999</v>
      </c>
      <c r="C94" s="6">
        <v>24.126999999999999</v>
      </c>
      <c r="D94" s="6">
        <v>4.1446999999999998E-2</v>
      </c>
      <c r="E94" s="6">
        <v>-1.9446000000000001</v>
      </c>
      <c r="F94" s="6">
        <v>-1.9072</v>
      </c>
      <c r="G94" s="6">
        <v>95.945999999999998</v>
      </c>
      <c r="H94" s="6">
        <v>27.38</v>
      </c>
      <c r="I94" s="6">
        <v>66.656000000000006</v>
      </c>
      <c r="J94" s="6">
        <v>578.72</v>
      </c>
      <c r="K94" s="6">
        <v>1.2734000000000001E-3</v>
      </c>
      <c r="L94" s="6">
        <v>71.010999999999996</v>
      </c>
      <c r="M94" s="6">
        <v>9.5818E-2</v>
      </c>
      <c r="N94" s="6">
        <v>3.666E-3</v>
      </c>
      <c r="O94" s="6" t="s">
        <v>17</v>
      </c>
    </row>
    <row r="95" spans="1:15" ht="17" x14ac:dyDescent="0.35">
      <c r="A95" s="14">
        <v>102.35</v>
      </c>
      <c r="B95" s="11">
        <v>9.1251999999999995</v>
      </c>
      <c r="C95" s="6">
        <v>24.09</v>
      </c>
      <c r="D95" s="6">
        <v>4.1512E-2</v>
      </c>
      <c r="E95" s="6">
        <v>-1.9339999999999999</v>
      </c>
      <c r="F95" s="6">
        <v>-1.8962000000000001</v>
      </c>
      <c r="G95" s="6">
        <v>96.05</v>
      </c>
      <c r="H95" s="6">
        <v>27.369</v>
      </c>
      <c r="I95" s="6">
        <v>66.801000000000002</v>
      </c>
      <c r="J95" s="6">
        <v>576.66999999999996</v>
      </c>
      <c r="K95" s="6">
        <v>1.7581999999999999E-3</v>
      </c>
      <c r="L95" s="6">
        <v>70.662000000000006</v>
      </c>
      <c r="M95" s="6">
        <v>9.5491000000000006E-2</v>
      </c>
      <c r="N95" s="6">
        <v>3.6343999999999999E-3</v>
      </c>
      <c r="O95" s="6" t="s">
        <v>17</v>
      </c>
    </row>
    <row r="96" spans="1:15" ht="17" x14ac:dyDescent="0.35">
      <c r="A96" s="14">
        <v>102.51</v>
      </c>
      <c r="B96" s="11">
        <v>9.2251999999999992</v>
      </c>
      <c r="C96" s="6">
        <v>24.052</v>
      </c>
      <c r="D96" s="6">
        <v>4.1576000000000002E-2</v>
      </c>
      <c r="E96" s="6">
        <v>-1.9235</v>
      </c>
      <c r="F96" s="6">
        <v>-1.8852</v>
      </c>
      <c r="G96" s="6">
        <v>96.153000000000006</v>
      </c>
      <c r="H96" s="6">
        <v>27.358000000000001</v>
      </c>
      <c r="I96" s="6">
        <v>66.947000000000003</v>
      </c>
      <c r="J96" s="6">
        <v>574.64</v>
      </c>
      <c r="K96" s="6">
        <v>2.2453999999999998E-3</v>
      </c>
      <c r="L96" s="6">
        <v>70.316999999999993</v>
      </c>
      <c r="M96" s="6">
        <v>9.5167000000000002E-2</v>
      </c>
      <c r="N96" s="6">
        <v>3.6032E-3</v>
      </c>
      <c r="O96" s="6" t="s">
        <v>17</v>
      </c>
    </row>
    <row r="97" spans="1:15" ht="17" x14ac:dyDescent="0.35">
      <c r="A97" s="14">
        <v>102.68</v>
      </c>
      <c r="B97" s="11">
        <v>9.3252000000000006</v>
      </c>
      <c r="C97" s="6">
        <v>24.015000000000001</v>
      </c>
      <c r="D97" s="6">
        <v>4.1640999999999997E-2</v>
      </c>
      <c r="E97" s="6">
        <v>-1.913</v>
      </c>
      <c r="F97" s="6">
        <v>-1.8742000000000001</v>
      </c>
      <c r="G97" s="6">
        <v>96.256</v>
      </c>
      <c r="H97" s="6">
        <v>27.347000000000001</v>
      </c>
      <c r="I97" s="6">
        <v>67.093999999999994</v>
      </c>
      <c r="J97" s="6">
        <v>572.61</v>
      </c>
      <c r="K97" s="6">
        <v>2.7347999999999999E-3</v>
      </c>
      <c r="L97" s="6">
        <v>69.977000000000004</v>
      </c>
      <c r="M97" s="6">
        <v>9.4846E-2</v>
      </c>
      <c r="N97" s="6">
        <v>3.5722000000000002E-3</v>
      </c>
      <c r="O97" s="6" t="s">
        <v>17</v>
      </c>
    </row>
    <row r="98" spans="1:15" ht="17" x14ac:dyDescent="0.35">
      <c r="A98" s="14">
        <v>102.84</v>
      </c>
      <c r="B98" s="11">
        <v>9.4252000000000002</v>
      </c>
      <c r="C98" s="6">
        <v>23.978000000000002</v>
      </c>
      <c r="D98" s="6">
        <v>4.1704999999999999E-2</v>
      </c>
      <c r="E98" s="6">
        <v>-1.9027000000000001</v>
      </c>
      <c r="F98" s="6">
        <v>-1.8633</v>
      </c>
      <c r="G98" s="6">
        <v>96.358000000000004</v>
      </c>
      <c r="H98" s="6">
        <v>27.337</v>
      </c>
      <c r="I98" s="6">
        <v>67.242000000000004</v>
      </c>
      <c r="J98" s="6">
        <v>570.6</v>
      </c>
      <c r="K98" s="6">
        <v>3.2265000000000002E-3</v>
      </c>
      <c r="L98" s="6">
        <v>69.641000000000005</v>
      </c>
      <c r="M98" s="6">
        <v>9.4527E-2</v>
      </c>
      <c r="N98" s="6">
        <v>3.5414999999999999E-3</v>
      </c>
      <c r="O98" s="6" t="s">
        <v>17</v>
      </c>
    </row>
    <row r="99" spans="1:15" ht="17" x14ac:dyDescent="0.35">
      <c r="A99" s="14">
        <v>103</v>
      </c>
      <c r="B99" s="11">
        <v>9.5251999999999999</v>
      </c>
      <c r="C99" s="6">
        <v>23.940999999999999</v>
      </c>
      <c r="D99" s="6">
        <v>4.1769000000000001E-2</v>
      </c>
      <c r="E99" s="6">
        <v>-1.8923000000000001</v>
      </c>
      <c r="F99" s="6">
        <v>-1.8525</v>
      </c>
      <c r="G99" s="6">
        <v>96.459000000000003</v>
      </c>
      <c r="H99" s="6">
        <v>27.327000000000002</v>
      </c>
      <c r="I99" s="6">
        <v>67.391000000000005</v>
      </c>
      <c r="J99" s="6">
        <v>568.59</v>
      </c>
      <c r="K99" s="6">
        <v>3.7206000000000001E-3</v>
      </c>
      <c r="L99" s="6">
        <v>69.308999999999997</v>
      </c>
      <c r="M99" s="6">
        <v>9.4210000000000002E-2</v>
      </c>
      <c r="N99" s="6">
        <v>3.5111000000000001E-3</v>
      </c>
      <c r="O99" s="6" t="s">
        <v>17</v>
      </c>
    </row>
    <row r="100" spans="1:15" ht="17" x14ac:dyDescent="0.35">
      <c r="A100" s="14">
        <v>103.16</v>
      </c>
      <c r="B100" s="11">
        <v>9.6251999999999995</v>
      </c>
      <c r="C100" s="6">
        <v>23.904</v>
      </c>
      <c r="D100" s="6">
        <v>4.1833000000000002E-2</v>
      </c>
      <c r="E100" s="6">
        <v>-1.8819999999999999</v>
      </c>
      <c r="F100" s="6">
        <v>-1.8418000000000001</v>
      </c>
      <c r="G100" s="6">
        <v>96.558999999999997</v>
      </c>
      <c r="H100" s="6">
        <v>27.317</v>
      </c>
      <c r="I100" s="6">
        <v>67.540999999999997</v>
      </c>
      <c r="J100" s="6">
        <v>566.6</v>
      </c>
      <c r="K100" s="6">
        <v>4.2170999999999997E-3</v>
      </c>
      <c r="L100" s="6">
        <v>68.98</v>
      </c>
      <c r="M100" s="6">
        <v>9.3895999999999993E-2</v>
      </c>
      <c r="N100" s="6">
        <v>3.4810000000000002E-3</v>
      </c>
      <c r="O100" s="6" t="s">
        <v>17</v>
      </c>
    </row>
    <row r="101" spans="1:15" ht="17" x14ac:dyDescent="0.35">
      <c r="A101" s="14">
        <v>103.32</v>
      </c>
      <c r="B101" s="11">
        <v>9.7251999999999992</v>
      </c>
      <c r="C101" s="6">
        <v>23.867999999999999</v>
      </c>
      <c r="D101" s="6">
        <v>4.1896999999999997E-2</v>
      </c>
      <c r="E101" s="6">
        <v>-1.8717999999999999</v>
      </c>
      <c r="F101" s="6">
        <v>-1.8310999999999999</v>
      </c>
      <c r="G101" s="6">
        <v>96.658000000000001</v>
      </c>
      <c r="H101" s="6">
        <v>27.306999999999999</v>
      </c>
      <c r="I101" s="6">
        <v>67.691999999999993</v>
      </c>
      <c r="J101" s="6">
        <v>564.62</v>
      </c>
      <c r="K101" s="6">
        <v>4.7159999999999997E-3</v>
      </c>
      <c r="L101" s="6">
        <v>68.656000000000006</v>
      </c>
      <c r="M101" s="6">
        <v>9.3584000000000001E-2</v>
      </c>
      <c r="N101" s="6">
        <v>3.4512000000000002E-3</v>
      </c>
      <c r="O101" s="6" t="s">
        <v>17</v>
      </c>
    </row>
    <row r="102" spans="1:15" ht="17" x14ac:dyDescent="0.35">
      <c r="A102" s="14">
        <v>103.47</v>
      </c>
      <c r="B102" s="11">
        <v>9.8252000000000006</v>
      </c>
      <c r="C102" s="6">
        <v>23.831</v>
      </c>
      <c r="D102" s="6">
        <v>4.1960999999999998E-2</v>
      </c>
      <c r="E102" s="6">
        <v>-1.8616999999999999</v>
      </c>
      <c r="F102" s="6">
        <v>-1.8205</v>
      </c>
      <c r="G102" s="6">
        <v>96.757000000000005</v>
      </c>
      <c r="H102" s="6">
        <v>27.297000000000001</v>
      </c>
      <c r="I102" s="6">
        <v>67.843999999999994</v>
      </c>
      <c r="J102" s="6">
        <v>562.65</v>
      </c>
      <c r="K102" s="6">
        <v>5.2173000000000002E-3</v>
      </c>
      <c r="L102" s="6">
        <v>68.334999999999994</v>
      </c>
      <c r="M102" s="6">
        <v>9.3273999999999996E-2</v>
      </c>
      <c r="N102" s="6">
        <v>3.4217000000000002E-3</v>
      </c>
      <c r="O102" s="6" t="s">
        <v>17</v>
      </c>
    </row>
    <row r="103" spans="1:15" ht="17" x14ac:dyDescent="0.35">
      <c r="A103" s="14">
        <v>103.63</v>
      </c>
      <c r="B103" s="11">
        <v>9.9252000000000002</v>
      </c>
      <c r="C103" s="6">
        <v>23.795000000000002</v>
      </c>
      <c r="D103" s="6">
        <v>4.2025E-2</v>
      </c>
      <c r="E103" s="6">
        <v>-1.8515999999999999</v>
      </c>
      <c r="F103" s="6">
        <v>-1.8099000000000001</v>
      </c>
      <c r="G103" s="6">
        <v>96.855000000000004</v>
      </c>
      <c r="H103" s="6">
        <v>27.288</v>
      </c>
      <c r="I103" s="6">
        <v>67.998000000000005</v>
      </c>
      <c r="J103" s="6">
        <v>560.67999999999995</v>
      </c>
      <c r="K103" s="6">
        <v>5.7210999999999998E-3</v>
      </c>
      <c r="L103" s="6">
        <v>68.018000000000001</v>
      </c>
      <c r="M103" s="6">
        <v>9.2965999999999993E-2</v>
      </c>
      <c r="N103" s="6">
        <v>3.3923999999999998E-3</v>
      </c>
      <c r="O103" s="6" t="s">
        <v>17</v>
      </c>
    </row>
    <row r="104" spans="1:15" ht="17" x14ac:dyDescent="0.35">
      <c r="A104" s="14">
        <v>103.79</v>
      </c>
      <c r="B104" s="11">
        <v>10.025</v>
      </c>
      <c r="C104" s="6">
        <v>23.759</v>
      </c>
      <c r="D104" s="6">
        <v>4.2089000000000001E-2</v>
      </c>
      <c r="E104" s="6">
        <v>-1.8415999999999999</v>
      </c>
      <c r="F104" s="6">
        <v>-1.7994000000000001</v>
      </c>
      <c r="G104" s="6">
        <v>96.953000000000003</v>
      </c>
      <c r="H104" s="6">
        <v>27.279</v>
      </c>
      <c r="I104" s="6">
        <v>68.152000000000001</v>
      </c>
      <c r="J104" s="6">
        <v>558.73</v>
      </c>
      <c r="K104" s="6">
        <v>6.2274000000000001E-3</v>
      </c>
      <c r="L104" s="6">
        <v>67.703999999999994</v>
      </c>
      <c r="M104" s="6">
        <v>9.2660999999999993E-2</v>
      </c>
      <c r="N104" s="6">
        <v>3.3633000000000001E-3</v>
      </c>
      <c r="O104" s="6" t="s">
        <v>17</v>
      </c>
    </row>
    <row r="105" spans="1:15" ht="17" x14ac:dyDescent="0.35">
      <c r="A105" s="14">
        <v>103.94</v>
      </c>
      <c r="B105" s="11">
        <v>10.125</v>
      </c>
      <c r="C105" s="6">
        <v>23.722999999999999</v>
      </c>
      <c r="D105" s="6">
        <v>4.2153000000000003E-2</v>
      </c>
      <c r="E105" s="6">
        <v>-1.8315999999999999</v>
      </c>
      <c r="F105" s="6">
        <v>-1.7888999999999999</v>
      </c>
      <c r="G105" s="6">
        <v>97.049000000000007</v>
      </c>
      <c r="H105" s="6">
        <v>27.27</v>
      </c>
      <c r="I105" s="6">
        <v>68.308000000000007</v>
      </c>
      <c r="J105" s="6">
        <v>556.79</v>
      </c>
      <c r="K105" s="6">
        <v>6.7362999999999998E-3</v>
      </c>
      <c r="L105" s="6">
        <v>67.394000000000005</v>
      </c>
      <c r="M105" s="6">
        <v>9.2357999999999996E-2</v>
      </c>
      <c r="N105" s="6">
        <v>3.3346000000000001E-3</v>
      </c>
      <c r="O105" s="6" t="s">
        <v>17</v>
      </c>
    </row>
    <row r="106" spans="1:15" ht="17" x14ac:dyDescent="0.35">
      <c r="A106" s="14">
        <v>104.09</v>
      </c>
      <c r="B106" s="11">
        <v>10.225</v>
      </c>
      <c r="C106" s="6">
        <v>23.687000000000001</v>
      </c>
      <c r="D106" s="6">
        <v>4.2216999999999998E-2</v>
      </c>
      <c r="E106" s="6">
        <v>-1.8217000000000001</v>
      </c>
      <c r="F106" s="6">
        <v>-1.7785</v>
      </c>
      <c r="G106" s="6">
        <v>97.144999999999996</v>
      </c>
      <c r="H106" s="6">
        <v>27.262</v>
      </c>
      <c r="I106" s="6">
        <v>68.463999999999999</v>
      </c>
      <c r="J106" s="6">
        <v>554.86</v>
      </c>
      <c r="K106" s="6">
        <v>7.2477000000000001E-3</v>
      </c>
      <c r="L106" s="6">
        <v>67.087999999999994</v>
      </c>
      <c r="M106" s="6">
        <v>9.2057E-2</v>
      </c>
      <c r="N106" s="6">
        <v>3.3059999999999999E-3</v>
      </c>
      <c r="O106" s="6" t="s">
        <v>17</v>
      </c>
    </row>
    <row r="107" spans="1:15" ht="17" x14ac:dyDescent="0.35">
      <c r="A107" s="14">
        <v>104.24</v>
      </c>
      <c r="B107" s="11">
        <v>10.324999999999999</v>
      </c>
      <c r="C107" s="6">
        <v>23.651</v>
      </c>
      <c r="D107" s="6">
        <v>4.2280999999999999E-2</v>
      </c>
      <c r="E107" s="6">
        <v>-1.8118000000000001</v>
      </c>
      <c r="F107" s="6">
        <v>-1.7681</v>
      </c>
      <c r="G107" s="6">
        <v>97.241</v>
      </c>
      <c r="H107" s="6">
        <v>27.254000000000001</v>
      </c>
      <c r="I107" s="6">
        <v>68.622</v>
      </c>
      <c r="J107" s="6">
        <v>552.92999999999995</v>
      </c>
      <c r="K107" s="6">
        <v>7.7616999999999998E-3</v>
      </c>
      <c r="L107" s="6">
        <v>66.784000000000006</v>
      </c>
      <c r="M107" s="6">
        <v>9.1758999999999993E-2</v>
      </c>
      <c r="N107" s="6">
        <v>3.2777000000000001E-3</v>
      </c>
      <c r="O107" s="6" t="s">
        <v>17</v>
      </c>
    </row>
    <row r="108" spans="1:15" ht="17" x14ac:dyDescent="0.35">
      <c r="A108" s="14">
        <v>104.4</v>
      </c>
      <c r="B108" s="11">
        <v>10.425000000000001</v>
      </c>
      <c r="C108" s="6">
        <v>23.616</v>
      </c>
      <c r="D108" s="6">
        <v>4.2345000000000001E-2</v>
      </c>
      <c r="E108" s="6">
        <v>-1.802</v>
      </c>
      <c r="F108" s="6">
        <v>-1.7578</v>
      </c>
      <c r="G108" s="6">
        <v>97.334999999999994</v>
      </c>
      <c r="H108" s="6">
        <v>27.245000000000001</v>
      </c>
      <c r="I108" s="6">
        <v>68.781000000000006</v>
      </c>
      <c r="J108" s="6">
        <v>551.02</v>
      </c>
      <c r="K108" s="6">
        <v>8.2784E-3</v>
      </c>
      <c r="L108" s="6">
        <v>66.483999999999995</v>
      </c>
      <c r="M108" s="6">
        <v>9.1462000000000002E-2</v>
      </c>
      <c r="N108" s="6">
        <v>3.2496999999999999E-3</v>
      </c>
      <c r="O108" s="6" t="s">
        <v>17</v>
      </c>
    </row>
    <row r="109" spans="1:15" ht="17" x14ac:dyDescent="0.35">
      <c r="A109" s="14">
        <v>104.55</v>
      </c>
      <c r="B109" s="11">
        <v>10.525</v>
      </c>
      <c r="C109" s="6">
        <v>23.58</v>
      </c>
      <c r="D109" s="6">
        <v>4.2409000000000002E-2</v>
      </c>
      <c r="E109" s="6">
        <v>-1.7922</v>
      </c>
      <c r="F109" s="6">
        <v>-1.7476</v>
      </c>
      <c r="G109" s="6">
        <v>97.429000000000002</v>
      </c>
      <c r="H109" s="6">
        <v>27.236999999999998</v>
      </c>
      <c r="I109" s="6">
        <v>68.941999999999993</v>
      </c>
      <c r="J109" s="6">
        <v>549.11</v>
      </c>
      <c r="K109" s="6">
        <v>8.7977000000000003E-3</v>
      </c>
      <c r="L109" s="6">
        <v>66.186999999999998</v>
      </c>
      <c r="M109" s="6">
        <v>9.1166999999999998E-2</v>
      </c>
      <c r="N109" s="6">
        <v>3.2219000000000002E-3</v>
      </c>
      <c r="O109" s="6" t="s">
        <v>17</v>
      </c>
    </row>
    <row r="110" spans="1:15" ht="17" x14ac:dyDescent="0.35">
      <c r="A110" s="14">
        <v>104.69</v>
      </c>
      <c r="B110" s="11">
        <v>10.625</v>
      </c>
      <c r="C110" s="6">
        <v>23.545000000000002</v>
      </c>
      <c r="D110" s="6">
        <v>4.2472000000000003E-2</v>
      </c>
      <c r="E110" s="6">
        <v>-1.7825</v>
      </c>
      <c r="F110" s="6">
        <v>-1.7374000000000001</v>
      </c>
      <c r="G110" s="6">
        <v>97.522999999999996</v>
      </c>
      <c r="H110" s="6">
        <v>27.23</v>
      </c>
      <c r="I110" s="6">
        <v>69.102999999999994</v>
      </c>
      <c r="J110" s="6">
        <v>547.22</v>
      </c>
      <c r="K110" s="6">
        <v>9.3197000000000002E-3</v>
      </c>
      <c r="L110" s="6">
        <v>65.893000000000001</v>
      </c>
      <c r="M110" s="6">
        <v>9.0873999999999996E-2</v>
      </c>
      <c r="N110" s="6">
        <v>3.1943000000000002E-3</v>
      </c>
      <c r="O110" s="6" t="s">
        <v>17</v>
      </c>
    </row>
    <row r="111" spans="1:15" ht="17" x14ac:dyDescent="0.35">
      <c r="A111" s="14">
        <v>104.84</v>
      </c>
      <c r="B111" s="11">
        <v>10.725</v>
      </c>
      <c r="C111" s="6">
        <v>23.509</v>
      </c>
      <c r="D111" s="6">
        <v>4.2535999999999997E-2</v>
      </c>
      <c r="E111" s="6">
        <v>-1.7727999999999999</v>
      </c>
      <c r="F111" s="6">
        <v>-1.7272000000000001</v>
      </c>
      <c r="G111" s="6">
        <v>97.616</v>
      </c>
      <c r="H111" s="6">
        <v>27.222000000000001</v>
      </c>
      <c r="I111" s="6">
        <v>69.266000000000005</v>
      </c>
      <c r="J111" s="6">
        <v>545.33000000000004</v>
      </c>
      <c r="K111" s="6">
        <v>9.8445000000000008E-3</v>
      </c>
      <c r="L111" s="6">
        <v>65.602999999999994</v>
      </c>
      <c r="M111" s="6">
        <v>9.0583999999999998E-2</v>
      </c>
      <c r="N111" s="6">
        <v>3.1670000000000001E-3</v>
      </c>
      <c r="O111" s="6" t="s">
        <v>17</v>
      </c>
    </row>
    <row r="112" spans="1:15" ht="17" x14ac:dyDescent="0.35">
      <c r="A112" s="14">
        <v>104.99</v>
      </c>
      <c r="B112" s="11">
        <v>10.824999999999999</v>
      </c>
      <c r="C112" s="6">
        <v>23.474</v>
      </c>
      <c r="D112" s="6">
        <v>4.2599999999999999E-2</v>
      </c>
      <c r="E112" s="6">
        <v>-1.7632000000000001</v>
      </c>
      <c r="F112" s="6">
        <v>-1.7171000000000001</v>
      </c>
      <c r="G112" s="6">
        <v>97.707999999999998</v>
      </c>
      <c r="H112" s="6">
        <v>27.215</v>
      </c>
      <c r="I112" s="6">
        <v>69.430000000000007</v>
      </c>
      <c r="J112" s="6">
        <v>543.45000000000005</v>
      </c>
      <c r="K112" s="6">
        <v>1.0371999999999999E-2</v>
      </c>
      <c r="L112" s="6">
        <v>65.314999999999998</v>
      </c>
      <c r="M112" s="6">
        <v>9.0295E-2</v>
      </c>
      <c r="N112" s="6">
        <v>3.1399000000000002E-3</v>
      </c>
      <c r="O112" s="6" t="s">
        <v>17</v>
      </c>
    </row>
    <row r="113" spans="1:15" ht="17" x14ac:dyDescent="0.35">
      <c r="A113" s="14">
        <v>105.13</v>
      </c>
      <c r="B113" s="11">
        <v>10.925000000000001</v>
      </c>
      <c r="C113" s="6">
        <v>23.439</v>
      </c>
      <c r="D113" s="6">
        <v>4.2664000000000001E-2</v>
      </c>
      <c r="E113" s="6">
        <v>-1.7537</v>
      </c>
      <c r="F113" s="6">
        <v>-1.7071000000000001</v>
      </c>
      <c r="G113" s="6">
        <v>97.8</v>
      </c>
      <c r="H113" s="6">
        <v>27.207999999999998</v>
      </c>
      <c r="I113" s="6">
        <v>69.594999999999999</v>
      </c>
      <c r="J113" s="6">
        <v>541.57000000000005</v>
      </c>
      <c r="K113" s="6">
        <v>1.0902E-2</v>
      </c>
      <c r="L113" s="6">
        <v>65.03</v>
      </c>
      <c r="M113" s="6">
        <v>9.0008000000000005E-2</v>
      </c>
      <c r="N113" s="6">
        <v>3.1129999999999999E-3</v>
      </c>
      <c r="O113" s="6" t="s">
        <v>17</v>
      </c>
    </row>
    <row r="114" spans="1:15" ht="17" x14ac:dyDescent="0.35">
      <c r="A114" s="14">
        <v>105.28</v>
      </c>
      <c r="B114" s="11">
        <v>11.025</v>
      </c>
      <c r="C114" s="6">
        <v>23.404</v>
      </c>
      <c r="D114" s="6">
        <v>4.2728000000000002E-2</v>
      </c>
      <c r="E114" s="6">
        <v>-1.7442</v>
      </c>
      <c r="F114" s="6">
        <v>-1.6970000000000001</v>
      </c>
      <c r="G114" s="6">
        <v>97.891000000000005</v>
      </c>
      <c r="H114" s="6">
        <v>27.201000000000001</v>
      </c>
      <c r="I114" s="6">
        <v>69.760999999999996</v>
      </c>
      <c r="J114" s="6">
        <v>539.71</v>
      </c>
      <c r="K114" s="6">
        <v>1.1435000000000001E-2</v>
      </c>
      <c r="L114" s="6">
        <v>64.748000000000005</v>
      </c>
      <c r="M114" s="6">
        <v>8.9722999999999997E-2</v>
      </c>
      <c r="N114" s="6">
        <v>3.0864E-3</v>
      </c>
      <c r="O114" s="6" t="s">
        <v>17</v>
      </c>
    </row>
    <row r="115" spans="1:15" ht="17" x14ac:dyDescent="0.35">
      <c r="A115" s="14">
        <v>105.42</v>
      </c>
      <c r="B115" s="11">
        <v>11.125</v>
      </c>
      <c r="C115" s="6">
        <v>23.369</v>
      </c>
      <c r="D115" s="6">
        <v>4.2791000000000003E-2</v>
      </c>
      <c r="E115" s="6">
        <v>-1.7346999999999999</v>
      </c>
      <c r="F115" s="6">
        <v>-1.6871</v>
      </c>
      <c r="G115" s="6">
        <v>97.980999999999995</v>
      </c>
      <c r="H115" s="6">
        <v>27.193999999999999</v>
      </c>
      <c r="I115" s="6">
        <v>69.929000000000002</v>
      </c>
      <c r="J115" s="6">
        <v>537.85</v>
      </c>
      <c r="K115" s="6">
        <v>1.1971000000000001E-2</v>
      </c>
      <c r="L115" s="6">
        <v>64.468000000000004</v>
      </c>
      <c r="M115" s="6">
        <v>8.9440000000000006E-2</v>
      </c>
      <c r="N115" s="6">
        <v>3.0598999999999999E-3</v>
      </c>
      <c r="O115" s="6" t="s">
        <v>17</v>
      </c>
    </row>
    <row r="116" spans="1:15" ht="17" x14ac:dyDescent="0.35">
      <c r="A116" s="14">
        <v>105.57</v>
      </c>
      <c r="B116" s="11">
        <v>11.225</v>
      </c>
      <c r="C116" s="6">
        <v>23.334</v>
      </c>
      <c r="D116" s="6">
        <v>4.2854999999999997E-2</v>
      </c>
      <c r="E116" s="6">
        <v>-1.7253000000000001</v>
      </c>
      <c r="F116" s="6">
        <v>-1.6771</v>
      </c>
      <c r="G116" s="6">
        <v>98.072000000000003</v>
      </c>
      <c r="H116" s="6">
        <v>27.187999999999999</v>
      </c>
      <c r="I116" s="6">
        <v>70.097999999999999</v>
      </c>
      <c r="J116" s="6">
        <v>536.01</v>
      </c>
      <c r="K116" s="6">
        <v>1.251E-2</v>
      </c>
      <c r="L116" s="6">
        <v>64.191000000000003</v>
      </c>
      <c r="M116" s="6">
        <v>8.9159000000000002E-2</v>
      </c>
      <c r="N116" s="6">
        <v>3.0336999999999999E-3</v>
      </c>
      <c r="O116" s="6" t="s">
        <v>17</v>
      </c>
    </row>
    <row r="117" spans="1:15" ht="17" x14ac:dyDescent="0.35">
      <c r="A117" s="14">
        <v>105.71</v>
      </c>
      <c r="B117" s="11">
        <v>11.324999999999999</v>
      </c>
      <c r="C117" s="6">
        <v>23.3</v>
      </c>
      <c r="D117" s="6">
        <v>4.2918999999999999E-2</v>
      </c>
      <c r="E117" s="6">
        <v>-1.7159</v>
      </c>
      <c r="F117" s="6">
        <v>-1.6673</v>
      </c>
      <c r="G117" s="6">
        <v>98.161000000000001</v>
      </c>
      <c r="H117" s="6">
        <v>27.181999999999999</v>
      </c>
      <c r="I117" s="6">
        <v>70.269000000000005</v>
      </c>
      <c r="J117" s="6">
        <v>534.16999999999996</v>
      </c>
      <c r="K117" s="6">
        <v>1.3051999999999999E-2</v>
      </c>
      <c r="L117" s="6">
        <v>63.917000000000002</v>
      </c>
      <c r="M117" s="6">
        <v>8.8879E-2</v>
      </c>
      <c r="N117" s="6">
        <v>3.0076999999999999E-3</v>
      </c>
      <c r="O117" s="6" t="s">
        <v>17</v>
      </c>
    </row>
    <row r="118" spans="1:15" ht="17" x14ac:dyDescent="0.35">
      <c r="A118" s="14">
        <v>105.85</v>
      </c>
      <c r="B118" s="11">
        <v>11.425000000000001</v>
      </c>
      <c r="C118" s="6">
        <v>23.265000000000001</v>
      </c>
      <c r="D118" s="6">
        <v>4.2983E-2</v>
      </c>
      <c r="E118" s="6">
        <v>-1.7064999999999999</v>
      </c>
      <c r="F118" s="6">
        <v>-1.6574</v>
      </c>
      <c r="G118" s="6">
        <v>98.25</v>
      </c>
      <c r="H118" s="6">
        <v>27.175999999999998</v>
      </c>
      <c r="I118" s="6">
        <v>70.44</v>
      </c>
      <c r="J118" s="6">
        <v>532.33000000000004</v>
      </c>
      <c r="K118" s="6">
        <v>1.3597E-2</v>
      </c>
      <c r="L118" s="6">
        <v>63.646000000000001</v>
      </c>
      <c r="M118" s="6">
        <v>8.8600999999999999E-2</v>
      </c>
      <c r="N118" s="6">
        <v>2.9819E-3</v>
      </c>
      <c r="O118" s="6" t="s">
        <v>17</v>
      </c>
    </row>
    <row r="119" spans="1:15" ht="17" x14ac:dyDescent="0.35">
      <c r="A119" s="14">
        <v>105.99</v>
      </c>
      <c r="B119" s="11">
        <v>11.525</v>
      </c>
      <c r="C119" s="6">
        <v>23.231000000000002</v>
      </c>
      <c r="D119" s="6">
        <v>4.3047000000000002E-2</v>
      </c>
      <c r="E119" s="6">
        <v>-1.6972</v>
      </c>
      <c r="F119" s="6">
        <v>-1.6476</v>
      </c>
      <c r="G119" s="6">
        <v>98.337999999999994</v>
      </c>
      <c r="H119" s="6">
        <v>27.17</v>
      </c>
      <c r="I119" s="6">
        <v>70.614000000000004</v>
      </c>
      <c r="J119" s="6">
        <v>530.51</v>
      </c>
      <c r="K119" s="6">
        <v>1.4144E-2</v>
      </c>
      <c r="L119" s="6">
        <v>63.377000000000002</v>
      </c>
      <c r="M119" s="6">
        <v>8.8325000000000001E-2</v>
      </c>
      <c r="N119" s="6">
        <v>2.9562999999999998E-3</v>
      </c>
      <c r="O119" s="6" t="s">
        <v>17</v>
      </c>
    </row>
    <row r="120" spans="1:15" ht="17" x14ac:dyDescent="0.35">
      <c r="A120" s="14">
        <v>106.13</v>
      </c>
      <c r="B120" s="11">
        <v>11.625</v>
      </c>
      <c r="C120" s="6">
        <v>23.196000000000002</v>
      </c>
      <c r="D120" s="6">
        <v>4.3110999999999997E-2</v>
      </c>
      <c r="E120" s="6">
        <v>-1.6879999999999999</v>
      </c>
      <c r="F120" s="6">
        <v>-1.6378999999999999</v>
      </c>
      <c r="G120" s="6">
        <v>98.426000000000002</v>
      </c>
      <c r="H120" s="6">
        <v>27.164000000000001</v>
      </c>
      <c r="I120" s="6">
        <v>70.787999999999997</v>
      </c>
      <c r="J120" s="6">
        <v>528.69000000000005</v>
      </c>
      <c r="K120" s="6">
        <v>1.4695E-2</v>
      </c>
      <c r="L120" s="6">
        <v>63.110999999999997</v>
      </c>
      <c r="M120" s="6">
        <v>8.8051000000000004E-2</v>
      </c>
      <c r="N120" s="6">
        <v>2.9309000000000002E-3</v>
      </c>
      <c r="O120" s="6" t="s">
        <v>17</v>
      </c>
    </row>
    <row r="121" spans="1:15" ht="17" x14ac:dyDescent="0.35">
      <c r="A121" s="14">
        <v>106.27</v>
      </c>
      <c r="B121" s="11">
        <v>11.725</v>
      </c>
      <c r="C121" s="6">
        <v>23.161999999999999</v>
      </c>
      <c r="D121" s="6">
        <v>4.3173999999999997E-2</v>
      </c>
      <c r="E121" s="6">
        <v>-1.6788000000000001</v>
      </c>
      <c r="F121" s="6">
        <v>-1.6282000000000001</v>
      </c>
      <c r="G121" s="6">
        <v>98.513999999999996</v>
      </c>
      <c r="H121" s="6">
        <v>27.158999999999999</v>
      </c>
      <c r="I121" s="6">
        <v>70.963999999999999</v>
      </c>
      <c r="J121" s="6">
        <v>526.88</v>
      </c>
      <c r="K121" s="6">
        <v>1.5249E-2</v>
      </c>
      <c r="L121" s="6">
        <v>62.847000000000001</v>
      </c>
      <c r="M121" s="6">
        <v>8.7777999999999995E-2</v>
      </c>
      <c r="N121" s="6">
        <v>2.9057000000000002E-3</v>
      </c>
      <c r="O121" s="6" t="s">
        <v>17</v>
      </c>
    </row>
    <row r="122" spans="1:15" ht="17" x14ac:dyDescent="0.35">
      <c r="A122" s="14">
        <v>106.41</v>
      </c>
      <c r="B122" s="11">
        <v>11.824999999999999</v>
      </c>
      <c r="C122" s="6">
        <v>23.128</v>
      </c>
      <c r="D122" s="6">
        <v>4.3237999999999999E-2</v>
      </c>
      <c r="E122" s="6">
        <v>-1.6696</v>
      </c>
      <c r="F122" s="6">
        <v>-1.6185</v>
      </c>
      <c r="G122" s="6">
        <v>98.600999999999999</v>
      </c>
      <c r="H122" s="6">
        <v>27.154</v>
      </c>
      <c r="I122" s="6">
        <v>71.141000000000005</v>
      </c>
      <c r="J122" s="6">
        <v>525.07000000000005</v>
      </c>
      <c r="K122" s="6">
        <v>1.5806000000000001E-2</v>
      </c>
      <c r="L122" s="6">
        <v>62.585000000000001</v>
      </c>
      <c r="M122" s="6">
        <v>8.7508000000000002E-2</v>
      </c>
      <c r="N122" s="6">
        <v>2.8806999999999999E-3</v>
      </c>
      <c r="O122" s="6" t="s">
        <v>17</v>
      </c>
    </row>
    <row r="123" spans="1:15" ht="17" x14ac:dyDescent="0.35">
      <c r="A123" s="14">
        <v>106.54</v>
      </c>
      <c r="B123" s="11">
        <v>11.925000000000001</v>
      </c>
      <c r="C123" s="6">
        <v>23.093</v>
      </c>
      <c r="D123" s="6">
        <v>4.3302E-2</v>
      </c>
      <c r="E123" s="6">
        <v>-1.6605000000000001</v>
      </c>
      <c r="F123" s="6">
        <v>-1.6089</v>
      </c>
      <c r="G123" s="6">
        <v>98.686999999999998</v>
      </c>
      <c r="H123" s="6">
        <v>27.148</v>
      </c>
      <c r="I123" s="6">
        <v>71.319999999999993</v>
      </c>
      <c r="J123" s="6">
        <v>523.28</v>
      </c>
      <c r="K123" s="6">
        <v>1.6365999999999999E-2</v>
      </c>
      <c r="L123" s="6">
        <v>62.326000000000001</v>
      </c>
      <c r="M123" s="6">
        <v>8.7237999999999996E-2</v>
      </c>
      <c r="N123" s="6">
        <v>2.8559000000000002E-3</v>
      </c>
      <c r="O123" s="6" t="s">
        <v>17</v>
      </c>
    </row>
    <row r="124" spans="1:15" ht="17" x14ac:dyDescent="0.35">
      <c r="A124" s="14">
        <v>106.68</v>
      </c>
      <c r="B124" s="11">
        <v>12.025</v>
      </c>
      <c r="C124" s="6">
        <v>23.059000000000001</v>
      </c>
      <c r="D124" s="6">
        <v>4.3366000000000002E-2</v>
      </c>
      <c r="E124" s="6">
        <v>-1.6514</v>
      </c>
      <c r="F124" s="6">
        <v>-1.5992999999999999</v>
      </c>
      <c r="G124" s="6">
        <v>98.772999999999996</v>
      </c>
      <c r="H124" s="6">
        <v>27.143999999999998</v>
      </c>
      <c r="I124" s="6">
        <v>71.5</v>
      </c>
      <c r="J124" s="6">
        <v>521.49</v>
      </c>
      <c r="K124" s="6">
        <v>1.6929E-2</v>
      </c>
      <c r="L124" s="6">
        <v>62.069000000000003</v>
      </c>
      <c r="M124" s="6">
        <v>8.6971000000000007E-2</v>
      </c>
      <c r="N124" s="6">
        <v>2.8313000000000001E-3</v>
      </c>
      <c r="O124" s="6" t="s">
        <v>17</v>
      </c>
    </row>
    <row r="125" spans="1:15" ht="17" x14ac:dyDescent="0.35">
      <c r="A125" s="14">
        <v>106.81</v>
      </c>
      <c r="B125" s="11">
        <v>12.125</v>
      </c>
      <c r="C125" s="6">
        <v>23.024999999999999</v>
      </c>
      <c r="D125" s="6">
        <v>4.3430000000000003E-2</v>
      </c>
      <c r="E125" s="6">
        <v>-1.6424000000000001</v>
      </c>
      <c r="F125" s="6">
        <v>-1.5896999999999999</v>
      </c>
      <c r="G125" s="6">
        <v>98.858000000000004</v>
      </c>
      <c r="H125" s="6">
        <v>27.138999999999999</v>
      </c>
      <c r="I125" s="6">
        <v>71.682000000000002</v>
      </c>
      <c r="J125" s="6">
        <v>519.70000000000005</v>
      </c>
      <c r="K125" s="6">
        <v>1.7496000000000001E-2</v>
      </c>
      <c r="L125" s="6">
        <v>61.814</v>
      </c>
      <c r="M125" s="6">
        <v>8.6704000000000003E-2</v>
      </c>
      <c r="N125" s="6">
        <v>2.8067999999999999E-3</v>
      </c>
      <c r="O125" s="6" t="s">
        <v>17</v>
      </c>
    </row>
    <row r="126" spans="1:15" ht="17" x14ac:dyDescent="0.35">
      <c r="A126" s="14">
        <v>106.95</v>
      </c>
      <c r="B126" s="11">
        <v>12.225</v>
      </c>
      <c r="C126" s="6">
        <v>22.991</v>
      </c>
      <c r="D126" s="6">
        <v>4.3494999999999999E-2</v>
      </c>
      <c r="E126" s="6">
        <v>-1.6333</v>
      </c>
      <c r="F126" s="6">
        <v>-1.5802</v>
      </c>
      <c r="G126" s="6">
        <v>98.944000000000003</v>
      </c>
      <c r="H126" s="6">
        <v>27.134</v>
      </c>
      <c r="I126" s="6">
        <v>71.864999999999995</v>
      </c>
      <c r="J126" s="6">
        <v>517.92999999999995</v>
      </c>
      <c r="K126" s="6">
        <v>1.8065000000000001E-2</v>
      </c>
      <c r="L126" s="6">
        <v>61.561999999999998</v>
      </c>
      <c r="M126" s="6">
        <v>8.6440000000000003E-2</v>
      </c>
      <c r="N126" s="6">
        <v>2.7826000000000001E-3</v>
      </c>
      <c r="O126" s="6" t="s">
        <v>17</v>
      </c>
    </row>
    <row r="127" spans="1:15" ht="17" x14ac:dyDescent="0.35">
      <c r="A127" s="14">
        <v>107.08</v>
      </c>
      <c r="B127" s="11">
        <v>12.324999999999999</v>
      </c>
      <c r="C127" s="6">
        <v>22.957999999999998</v>
      </c>
      <c r="D127" s="6">
        <v>4.3559E-2</v>
      </c>
      <c r="E127" s="6">
        <v>-1.6244000000000001</v>
      </c>
      <c r="F127" s="6">
        <v>-1.5707</v>
      </c>
      <c r="G127" s="6">
        <v>99.028000000000006</v>
      </c>
      <c r="H127" s="6">
        <v>27.13</v>
      </c>
      <c r="I127" s="6">
        <v>72.05</v>
      </c>
      <c r="J127" s="6">
        <v>516.16</v>
      </c>
      <c r="K127" s="6">
        <v>1.8637999999999998E-2</v>
      </c>
      <c r="L127" s="6">
        <v>61.311</v>
      </c>
      <c r="M127" s="6">
        <v>8.6177000000000004E-2</v>
      </c>
      <c r="N127" s="6">
        <v>2.7585000000000001E-3</v>
      </c>
      <c r="O127" s="6" t="s">
        <v>17</v>
      </c>
    </row>
    <row r="128" spans="1:15" ht="17" x14ac:dyDescent="0.35">
      <c r="A128" s="14">
        <v>107.21</v>
      </c>
      <c r="B128" s="11">
        <v>12.425000000000001</v>
      </c>
      <c r="C128" s="6">
        <v>22.923999999999999</v>
      </c>
      <c r="D128" s="6">
        <v>4.3623000000000002E-2</v>
      </c>
      <c r="E128" s="6">
        <v>-1.6153999999999999</v>
      </c>
      <c r="F128" s="6">
        <v>-1.5611999999999999</v>
      </c>
      <c r="G128" s="6">
        <v>99.111999999999995</v>
      </c>
      <c r="H128" s="6">
        <v>27.126000000000001</v>
      </c>
      <c r="I128" s="6">
        <v>72.236000000000004</v>
      </c>
      <c r="J128" s="6">
        <v>514.39</v>
      </c>
      <c r="K128" s="6">
        <v>1.9213999999999998E-2</v>
      </c>
      <c r="L128" s="6">
        <v>61.063000000000002</v>
      </c>
      <c r="M128" s="6">
        <v>8.5916000000000006E-2</v>
      </c>
      <c r="N128" s="6">
        <v>2.7345999999999998E-3</v>
      </c>
      <c r="O128" s="6" t="s">
        <v>17</v>
      </c>
    </row>
    <row r="129" spans="1:15" ht="17" x14ac:dyDescent="0.35">
      <c r="A129" s="14">
        <v>107.35</v>
      </c>
      <c r="B129" s="11">
        <v>12.525</v>
      </c>
      <c r="C129" s="6">
        <v>22.89</v>
      </c>
      <c r="D129" s="6">
        <v>4.3686999999999997E-2</v>
      </c>
      <c r="E129" s="6">
        <v>-1.6065</v>
      </c>
      <c r="F129" s="6">
        <v>-1.5518000000000001</v>
      </c>
      <c r="G129" s="6">
        <v>99.195999999999998</v>
      </c>
      <c r="H129" s="6">
        <v>27.122</v>
      </c>
      <c r="I129" s="6">
        <v>72.424000000000007</v>
      </c>
      <c r="J129" s="6">
        <v>512.63</v>
      </c>
      <c r="K129" s="6">
        <v>1.9793999999999999E-2</v>
      </c>
      <c r="L129" s="6">
        <v>60.817</v>
      </c>
      <c r="M129" s="6">
        <v>8.5655999999999996E-2</v>
      </c>
      <c r="N129" s="6">
        <v>2.7109E-3</v>
      </c>
      <c r="O129" s="6" t="s">
        <v>17</v>
      </c>
    </row>
    <row r="130" spans="1:15" ht="17" x14ac:dyDescent="0.35">
      <c r="A130" s="14">
        <v>107.48</v>
      </c>
      <c r="B130" s="11">
        <v>12.625</v>
      </c>
      <c r="C130" s="6">
        <v>22.856000000000002</v>
      </c>
      <c r="D130" s="6">
        <v>4.3750999999999998E-2</v>
      </c>
      <c r="E130" s="6">
        <v>-1.5976999999999999</v>
      </c>
      <c r="F130" s="6">
        <v>-1.5424</v>
      </c>
      <c r="G130" s="6">
        <v>99.278999999999996</v>
      </c>
      <c r="H130" s="6">
        <v>27.117999999999999</v>
      </c>
      <c r="I130" s="6">
        <v>72.614000000000004</v>
      </c>
      <c r="J130" s="6">
        <v>510.88</v>
      </c>
      <c r="K130" s="6">
        <v>2.0376999999999999E-2</v>
      </c>
      <c r="L130" s="6">
        <v>60.573</v>
      </c>
      <c r="M130" s="6">
        <v>8.5397000000000001E-2</v>
      </c>
      <c r="N130" s="6">
        <v>2.6873999999999999E-3</v>
      </c>
      <c r="O130" s="6" t="s">
        <v>17</v>
      </c>
    </row>
    <row r="131" spans="1:15" ht="17" x14ac:dyDescent="0.35">
      <c r="A131" s="14">
        <v>107.61</v>
      </c>
      <c r="B131" s="11">
        <v>12.725</v>
      </c>
      <c r="C131" s="6">
        <v>22.823</v>
      </c>
      <c r="D131" s="6">
        <v>4.3816000000000001E-2</v>
      </c>
      <c r="E131" s="6">
        <v>-1.5888</v>
      </c>
      <c r="F131" s="6">
        <v>-1.5330999999999999</v>
      </c>
      <c r="G131" s="6">
        <v>99.361999999999995</v>
      </c>
      <c r="H131" s="6">
        <v>27.114999999999998</v>
      </c>
      <c r="I131" s="6">
        <v>72.805000000000007</v>
      </c>
      <c r="J131" s="6">
        <v>509.14</v>
      </c>
      <c r="K131" s="6">
        <v>2.0962999999999999E-2</v>
      </c>
      <c r="L131" s="6">
        <v>60.331000000000003</v>
      </c>
      <c r="M131" s="6">
        <v>8.5139999999999993E-2</v>
      </c>
      <c r="N131" s="6">
        <v>2.6641E-3</v>
      </c>
      <c r="O131" s="6" t="s">
        <v>17</v>
      </c>
    </row>
    <row r="132" spans="1:15" ht="17" x14ac:dyDescent="0.35">
      <c r="A132" s="14">
        <v>107.74</v>
      </c>
      <c r="B132" s="11">
        <v>12.824999999999999</v>
      </c>
      <c r="C132" s="6">
        <v>22.789000000000001</v>
      </c>
      <c r="D132" s="6">
        <v>4.3880000000000002E-2</v>
      </c>
      <c r="E132" s="6">
        <v>-1.5801000000000001</v>
      </c>
      <c r="F132" s="6">
        <v>-1.5238</v>
      </c>
      <c r="G132" s="6">
        <v>99.444999999999993</v>
      </c>
      <c r="H132" s="6">
        <v>27.111000000000001</v>
      </c>
      <c r="I132" s="6">
        <v>72.997</v>
      </c>
      <c r="J132" s="6">
        <v>507.4</v>
      </c>
      <c r="K132" s="6">
        <v>2.1552999999999999E-2</v>
      </c>
      <c r="L132" s="6">
        <v>60.09</v>
      </c>
      <c r="M132" s="6">
        <v>8.4885000000000002E-2</v>
      </c>
      <c r="N132" s="6">
        <v>2.6408999999999998E-3</v>
      </c>
      <c r="O132" s="6" t="s">
        <v>17</v>
      </c>
    </row>
    <row r="133" spans="1:15" ht="17" x14ac:dyDescent="0.35">
      <c r="A133" s="14">
        <v>107.87</v>
      </c>
      <c r="B133" s="11">
        <v>12.925000000000001</v>
      </c>
      <c r="C133" s="6">
        <v>22.756</v>
      </c>
      <c r="D133" s="6">
        <v>4.3944999999999998E-2</v>
      </c>
      <c r="E133" s="6">
        <v>-1.5712999999999999</v>
      </c>
      <c r="F133" s="6">
        <v>-1.5145</v>
      </c>
      <c r="G133" s="6">
        <v>99.527000000000001</v>
      </c>
      <c r="H133" s="6">
        <v>27.108000000000001</v>
      </c>
      <c r="I133" s="6">
        <v>73.191999999999993</v>
      </c>
      <c r="J133" s="6">
        <v>505.66</v>
      </c>
      <c r="K133" s="6">
        <v>2.2145999999999999E-2</v>
      </c>
      <c r="L133" s="6">
        <v>59.851999999999997</v>
      </c>
      <c r="M133" s="6">
        <v>8.4630999999999998E-2</v>
      </c>
      <c r="N133" s="6">
        <v>2.6178999999999998E-3</v>
      </c>
      <c r="O133" s="6" t="s">
        <v>17</v>
      </c>
    </row>
    <row r="134" spans="1:15" ht="17" x14ac:dyDescent="0.35">
      <c r="A134" s="14">
        <v>108</v>
      </c>
      <c r="B134" s="11">
        <v>13.025</v>
      </c>
      <c r="C134" s="6">
        <v>22.722000000000001</v>
      </c>
      <c r="D134" s="6">
        <v>4.4009E-2</v>
      </c>
      <c r="E134" s="6">
        <v>-1.5626</v>
      </c>
      <c r="F134" s="6">
        <v>-1.5052000000000001</v>
      </c>
      <c r="G134" s="6">
        <v>99.608000000000004</v>
      </c>
      <c r="H134" s="6">
        <v>27.105</v>
      </c>
      <c r="I134" s="6">
        <v>73.388000000000005</v>
      </c>
      <c r="J134" s="6">
        <v>503.93</v>
      </c>
      <c r="K134" s="6">
        <v>2.2742999999999999E-2</v>
      </c>
      <c r="L134" s="6">
        <v>59.616</v>
      </c>
      <c r="M134" s="6">
        <v>8.4377999999999995E-2</v>
      </c>
      <c r="N134" s="6">
        <v>2.5950000000000001E-3</v>
      </c>
      <c r="O134" s="6" t="s">
        <v>17</v>
      </c>
    </row>
    <row r="135" spans="1:15" ht="17" x14ac:dyDescent="0.35">
      <c r="A135" s="14">
        <v>108.12</v>
      </c>
      <c r="B135" s="11">
        <v>13.125</v>
      </c>
      <c r="C135" s="6">
        <v>22.689</v>
      </c>
      <c r="D135" s="6">
        <v>4.4074000000000002E-2</v>
      </c>
      <c r="E135" s="6">
        <v>-1.5539000000000001</v>
      </c>
      <c r="F135" s="6">
        <v>-1.496</v>
      </c>
      <c r="G135" s="6">
        <v>99.688999999999993</v>
      </c>
      <c r="H135" s="6">
        <v>27.102</v>
      </c>
      <c r="I135" s="6">
        <v>73.585999999999999</v>
      </c>
      <c r="J135" s="6">
        <v>502.21</v>
      </c>
      <c r="K135" s="6">
        <v>2.3342999999999999E-2</v>
      </c>
      <c r="L135" s="6">
        <v>59.381</v>
      </c>
      <c r="M135" s="6">
        <v>8.4126999999999993E-2</v>
      </c>
      <c r="N135" s="6">
        <v>2.5723E-3</v>
      </c>
      <c r="O135" s="6" t="s">
        <v>17</v>
      </c>
    </row>
    <row r="136" spans="1:15" ht="17" x14ac:dyDescent="0.35">
      <c r="A136" s="14">
        <v>108.25</v>
      </c>
      <c r="B136" s="11">
        <v>13.225</v>
      </c>
      <c r="C136" s="6">
        <v>22.655999999999999</v>
      </c>
      <c r="D136" s="6">
        <v>4.4138999999999998E-2</v>
      </c>
      <c r="E136" s="6">
        <v>-1.5451999999999999</v>
      </c>
      <c r="F136" s="6">
        <v>-1.4867999999999999</v>
      </c>
      <c r="G136" s="6">
        <v>99.77</v>
      </c>
      <c r="H136" s="6">
        <v>27.1</v>
      </c>
      <c r="I136" s="6">
        <v>73.784999999999997</v>
      </c>
      <c r="J136" s="6">
        <v>500.49</v>
      </c>
      <c r="K136" s="6">
        <v>2.3947E-2</v>
      </c>
      <c r="L136" s="6">
        <v>59.148000000000003</v>
      </c>
      <c r="M136" s="6">
        <v>8.3876999999999993E-2</v>
      </c>
      <c r="N136" s="6">
        <v>2.5498000000000001E-3</v>
      </c>
      <c r="O136" s="6" t="s">
        <v>17</v>
      </c>
    </row>
    <row r="137" spans="1:15" ht="17" x14ac:dyDescent="0.35">
      <c r="A137" s="14">
        <v>108.38</v>
      </c>
      <c r="B137" s="11">
        <v>13.324999999999999</v>
      </c>
      <c r="C137" s="6">
        <v>22.623000000000001</v>
      </c>
      <c r="D137" s="6">
        <v>4.4204E-2</v>
      </c>
      <c r="E137" s="6">
        <v>-1.5366</v>
      </c>
      <c r="F137" s="6">
        <v>-1.4777</v>
      </c>
      <c r="G137" s="6">
        <v>99.850999999999999</v>
      </c>
      <c r="H137" s="6">
        <v>27.097000000000001</v>
      </c>
      <c r="I137" s="6">
        <v>73.986000000000004</v>
      </c>
      <c r="J137" s="6">
        <v>498.78</v>
      </c>
      <c r="K137" s="6">
        <v>2.4555E-2</v>
      </c>
      <c r="L137" s="6">
        <v>58.917000000000002</v>
      </c>
      <c r="M137" s="6">
        <v>8.3627999999999994E-2</v>
      </c>
      <c r="N137" s="6">
        <v>2.5274999999999998E-3</v>
      </c>
      <c r="O137" s="6" t="s">
        <v>17</v>
      </c>
    </row>
    <row r="138" spans="1:15" ht="17" x14ac:dyDescent="0.35">
      <c r="A138" s="14">
        <v>108.5</v>
      </c>
      <c r="B138" s="11">
        <v>13.425000000000001</v>
      </c>
      <c r="C138" s="6">
        <v>22.588999999999999</v>
      </c>
      <c r="D138" s="6">
        <v>4.4269000000000003E-2</v>
      </c>
      <c r="E138" s="6">
        <v>-1.528</v>
      </c>
      <c r="F138" s="6">
        <v>-1.4685999999999999</v>
      </c>
      <c r="G138" s="6">
        <v>99.930999999999997</v>
      </c>
      <c r="H138" s="6">
        <v>27.094999999999999</v>
      </c>
      <c r="I138" s="6">
        <v>74.188999999999993</v>
      </c>
      <c r="J138" s="6">
        <v>497.07</v>
      </c>
      <c r="K138" s="6">
        <v>2.5166000000000001E-2</v>
      </c>
      <c r="L138" s="6">
        <v>58.688000000000002</v>
      </c>
      <c r="M138" s="6">
        <v>8.3380999999999997E-2</v>
      </c>
      <c r="N138" s="6">
        <v>2.5052999999999998E-3</v>
      </c>
      <c r="O138" s="6" t="s">
        <v>17</v>
      </c>
    </row>
    <row r="139" spans="1:15" ht="17" x14ac:dyDescent="0.35">
      <c r="A139" s="14">
        <v>108.63</v>
      </c>
      <c r="B139" s="11">
        <v>13.525</v>
      </c>
      <c r="C139" s="6">
        <v>22.556000000000001</v>
      </c>
      <c r="D139" s="6">
        <v>4.4333999999999998E-2</v>
      </c>
      <c r="E139" s="6">
        <v>-1.5194000000000001</v>
      </c>
      <c r="F139" s="6">
        <v>-1.4595</v>
      </c>
      <c r="G139" s="6">
        <v>100.01</v>
      </c>
      <c r="H139" s="6">
        <v>27.093</v>
      </c>
      <c r="I139" s="6">
        <v>74.394000000000005</v>
      </c>
      <c r="J139" s="6">
        <v>495.37</v>
      </c>
      <c r="K139" s="6">
        <v>2.5780999999999998E-2</v>
      </c>
      <c r="L139" s="6">
        <v>58.460999999999999</v>
      </c>
      <c r="M139" s="6">
        <v>8.3135000000000001E-2</v>
      </c>
      <c r="N139" s="6">
        <v>2.4832000000000001E-3</v>
      </c>
      <c r="O139" s="6" t="s">
        <v>17</v>
      </c>
    </row>
    <row r="140" spans="1:15" ht="17" x14ac:dyDescent="0.35">
      <c r="A140" s="14">
        <v>108.75</v>
      </c>
      <c r="B140" s="11">
        <v>13.625</v>
      </c>
      <c r="C140" s="6">
        <v>22.523</v>
      </c>
      <c r="D140" s="6">
        <v>4.4399000000000001E-2</v>
      </c>
      <c r="E140" s="6">
        <v>-1.5108999999999999</v>
      </c>
      <c r="F140" s="6">
        <v>-1.4503999999999999</v>
      </c>
      <c r="G140" s="6">
        <v>100.09</v>
      </c>
      <c r="H140" s="6">
        <v>27.091000000000001</v>
      </c>
      <c r="I140" s="6">
        <v>74.600999999999999</v>
      </c>
      <c r="J140" s="6">
        <v>493.68</v>
      </c>
      <c r="K140" s="6">
        <v>2.64E-2</v>
      </c>
      <c r="L140" s="6">
        <v>58.234999999999999</v>
      </c>
      <c r="M140" s="6">
        <v>8.2891000000000006E-2</v>
      </c>
      <c r="N140" s="6">
        <v>2.4613E-3</v>
      </c>
      <c r="O140" s="6" t="s">
        <v>17</v>
      </c>
    </row>
    <row r="141" spans="1:15" ht="17" x14ac:dyDescent="0.35">
      <c r="A141" s="14">
        <v>108.88</v>
      </c>
      <c r="B141" s="11">
        <v>13.725</v>
      </c>
      <c r="C141" s="6">
        <v>22.49</v>
      </c>
      <c r="D141" s="6">
        <v>4.4463999999999997E-2</v>
      </c>
      <c r="E141" s="6">
        <v>-1.5024</v>
      </c>
      <c r="F141" s="6">
        <v>-1.4413</v>
      </c>
      <c r="G141" s="6">
        <v>100.17</v>
      </c>
      <c r="H141" s="6">
        <v>27.088999999999999</v>
      </c>
      <c r="I141" s="6">
        <v>74.808999999999997</v>
      </c>
      <c r="J141" s="6">
        <v>491.99</v>
      </c>
      <c r="K141" s="6">
        <v>2.7022999999999998E-2</v>
      </c>
      <c r="L141" s="6">
        <v>58.011000000000003</v>
      </c>
      <c r="M141" s="6">
        <v>8.2646999999999998E-2</v>
      </c>
      <c r="N141" s="6">
        <v>2.4396000000000001E-3</v>
      </c>
      <c r="O141" s="6" t="s">
        <v>17</v>
      </c>
    </row>
    <row r="142" spans="1:15" ht="17" x14ac:dyDescent="0.35">
      <c r="A142" s="14">
        <v>109</v>
      </c>
      <c r="B142" s="11">
        <v>13.824999999999999</v>
      </c>
      <c r="C142" s="6">
        <v>22.457000000000001</v>
      </c>
      <c r="D142" s="6">
        <v>4.4528999999999999E-2</v>
      </c>
      <c r="E142" s="6">
        <v>-1.4939</v>
      </c>
      <c r="F142" s="6">
        <v>-1.4322999999999999</v>
      </c>
      <c r="G142" s="6">
        <v>100.25</v>
      </c>
      <c r="H142" s="6">
        <v>27.088000000000001</v>
      </c>
      <c r="I142" s="6">
        <v>75.02</v>
      </c>
      <c r="J142" s="6">
        <v>490.3</v>
      </c>
      <c r="K142" s="6">
        <v>2.7649E-2</v>
      </c>
      <c r="L142" s="6">
        <v>57.787999999999997</v>
      </c>
      <c r="M142" s="6">
        <v>8.2405000000000006E-2</v>
      </c>
      <c r="N142" s="6">
        <v>2.418E-3</v>
      </c>
      <c r="O142" s="6" t="s">
        <v>17</v>
      </c>
    </row>
    <row r="143" spans="1:15" ht="17" x14ac:dyDescent="0.35">
      <c r="A143" s="14">
        <v>109.12</v>
      </c>
      <c r="B143" s="11">
        <v>13.925000000000001</v>
      </c>
      <c r="C143" s="6">
        <v>22.423999999999999</v>
      </c>
      <c r="D143" s="6">
        <v>4.4595000000000003E-2</v>
      </c>
      <c r="E143" s="6">
        <v>-1.4854000000000001</v>
      </c>
      <c r="F143" s="6">
        <v>-1.4233</v>
      </c>
      <c r="G143" s="6">
        <v>100.33</v>
      </c>
      <c r="H143" s="6">
        <v>27.085999999999999</v>
      </c>
      <c r="I143" s="6">
        <v>75.231999999999999</v>
      </c>
      <c r="J143" s="6">
        <v>488.62</v>
      </c>
      <c r="K143" s="6">
        <v>2.828E-2</v>
      </c>
      <c r="L143" s="6">
        <v>57.567</v>
      </c>
      <c r="M143" s="6">
        <v>8.2165000000000002E-2</v>
      </c>
      <c r="N143" s="6">
        <v>2.3966E-3</v>
      </c>
      <c r="O143" s="6" t="s">
        <v>17</v>
      </c>
    </row>
    <row r="144" spans="1:15" ht="17" x14ac:dyDescent="0.35">
      <c r="A144" s="14">
        <v>109.24</v>
      </c>
      <c r="B144" s="11">
        <v>14.025</v>
      </c>
      <c r="C144" s="6">
        <v>22.390999999999998</v>
      </c>
      <c r="D144" s="6">
        <v>4.4659999999999998E-2</v>
      </c>
      <c r="E144" s="6">
        <v>-1.4770000000000001</v>
      </c>
      <c r="F144" s="6">
        <v>-1.4144000000000001</v>
      </c>
      <c r="G144" s="6">
        <v>100.4</v>
      </c>
      <c r="H144" s="6">
        <v>27.085000000000001</v>
      </c>
      <c r="I144" s="6">
        <v>75.445999999999998</v>
      </c>
      <c r="J144" s="6">
        <v>486.94</v>
      </c>
      <c r="K144" s="6">
        <v>2.8913999999999999E-2</v>
      </c>
      <c r="L144" s="6">
        <v>57.347999999999999</v>
      </c>
      <c r="M144" s="6">
        <v>8.1924999999999998E-2</v>
      </c>
      <c r="N144" s="6">
        <v>2.3752999999999999E-3</v>
      </c>
      <c r="O144" s="6" t="s">
        <v>17</v>
      </c>
    </row>
    <row r="145" spans="1:15" ht="17" x14ac:dyDescent="0.35">
      <c r="A145" s="14">
        <v>109.36</v>
      </c>
      <c r="B145" s="11">
        <v>14.125</v>
      </c>
      <c r="C145" s="6">
        <v>22.359000000000002</v>
      </c>
      <c r="D145" s="6">
        <v>4.4726000000000002E-2</v>
      </c>
      <c r="E145" s="6">
        <v>-1.4685999999999999</v>
      </c>
      <c r="F145" s="6">
        <v>-1.4054</v>
      </c>
      <c r="G145" s="6">
        <v>100.48</v>
      </c>
      <c r="H145" s="6">
        <v>27.084</v>
      </c>
      <c r="I145" s="6">
        <v>75.662000000000006</v>
      </c>
      <c r="J145" s="6">
        <v>485.27</v>
      </c>
      <c r="K145" s="6">
        <v>2.9551999999999998E-2</v>
      </c>
      <c r="L145" s="6">
        <v>57.13</v>
      </c>
      <c r="M145" s="6">
        <v>8.1686999999999996E-2</v>
      </c>
      <c r="N145" s="6">
        <v>2.3541E-3</v>
      </c>
      <c r="O145" s="6" t="s">
        <v>17</v>
      </c>
    </row>
    <row r="146" spans="1:15" ht="17" x14ac:dyDescent="0.35">
      <c r="A146" s="14">
        <v>109.49</v>
      </c>
      <c r="B146" s="11">
        <v>14.225</v>
      </c>
      <c r="C146" s="6">
        <v>22.326000000000001</v>
      </c>
      <c r="D146" s="6">
        <v>4.4790999999999997E-2</v>
      </c>
      <c r="E146" s="6">
        <v>-1.4602999999999999</v>
      </c>
      <c r="F146" s="6">
        <v>-1.3965000000000001</v>
      </c>
      <c r="G146" s="6">
        <v>100.56</v>
      </c>
      <c r="H146" s="6">
        <v>27.082999999999998</v>
      </c>
      <c r="I146" s="6">
        <v>75.88</v>
      </c>
      <c r="J146" s="6">
        <v>483.6</v>
      </c>
      <c r="K146" s="6">
        <v>3.0195E-2</v>
      </c>
      <c r="L146" s="6">
        <v>56.912999999999997</v>
      </c>
      <c r="M146" s="6">
        <v>8.1449999999999995E-2</v>
      </c>
      <c r="N146" s="6">
        <v>2.3332000000000001E-3</v>
      </c>
      <c r="O146" s="6" t="s">
        <v>17</v>
      </c>
    </row>
    <row r="147" spans="1:15" ht="17" x14ac:dyDescent="0.35">
      <c r="A147" s="14">
        <v>109.6</v>
      </c>
      <c r="B147" s="11">
        <v>14.324999999999999</v>
      </c>
      <c r="C147" s="6">
        <v>22.292999999999999</v>
      </c>
      <c r="D147" s="6">
        <v>4.4857000000000001E-2</v>
      </c>
      <c r="E147" s="6">
        <v>-1.4519</v>
      </c>
      <c r="F147" s="6">
        <v>-1.3876999999999999</v>
      </c>
      <c r="G147" s="6">
        <v>100.64</v>
      </c>
      <c r="H147" s="6">
        <v>27.082999999999998</v>
      </c>
      <c r="I147" s="6">
        <v>76.100999999999999</v>
      </c>
      <c r="J147" s="6">
        <v>481.94</v>
      </c>
      <c r="K147" s="6">
        <v>3.0841E-2</v>
      </c>
      <c r="L147" s="6">
        <v>56.698</v>
      </c>
      <c r="M147" s="6">
        <v>8.1213999999999995E-2</v>
      </c>
      <c r="N147" s="6">
        <v>2.3123000000000002E-3</v>
      </c>
      <c r="O147" s="6" t="s">
        <v>17</v>
      </c>
    </row>
    <row r="148" spans="1:15" ht="17" x14ac:dyDescent="0.35">
      <c r="A148" s="14">
        <v>109.72</v>
      </c>
      <c r="B148" s="11">
        <v>14.425000000000001</v>
      </c>
      <c r="C148" s="6">
        <v>22.26</v>
      </c>
      <c r="D148" s="6">
        <v>4.4922999999999998E-2</v>
      </c>
      <c r="E148" s="6">
        <v>-1.4436</v>
      </c>
      <c r="F148" s="6">
        <v>-1.3788</v>
      </c>
      <c r="G148" s="6">
        <v>100.71</v>
      </c>
      <c r="H148" s="6">
        <v>27.082000000000001</v>
      </c>
      <c r="I148" s="6">
        <v>76.322999999999993</v>
      </c>
      <c r="J148" s="6">
        <v>480.28</v>
      </c>
      <c r="K148" s="6">
        <v>3.1490999999999998E-2</v>
      </c>
      <c r="L148" s="6">
        <v>56.484999999999999</v>
      </c>
      <c r="M148" s="6">
        <v>8.0978999999999995E-2</v>
      </c>
      <c r="N148" s="6">
        <v>2.2916E-3</v>
      </c>
      <c r="O148" s="6" t="s">
        <v>17</v>
      </c>
    </row>
    <row r="149" spans="1:15" ht="17" x14ac:dyDescent="0.35">
      <c r="A149" s="14">
        <v>109.84</v>
      </c>
      <c r="B149" s="11">
        <v>14.525</v>
      </c>
      <c r="C149" s="6">
        <v>22.228000000000002</v>
      </c>
      <c r="D149" s="6">
        <v>4.4989000000000001E-2</v>
      </c>
      <c r="E149" s="6">
        <v>-1.4353</v>
      </c>
      <c r="F149" s="6">
        <v>-1.37</v>
      </c>
      <c r="G149" s="6">
        <v>100.79</v>
      </c>
      <c r="H149" s="6">
        <v>27.082000000000001</v>
      </c>
      <c r="I149" s="6">
        <v>76.546999999999997</v>
      </c>
      <c r="J149" s="6">
        <v>478.63</v>
      </c>
      <c r="K149" s="6">
        <v>3.2146000000000001E-2</v>
      </c>
      <c r="L149" s="6">
        <v>56.273000000000003</v>
      </c>
      <c r="M149" s="6">
        <v>8.0745999999999998E-2</v>
      </c>
      <c r="N149" s="6">
        <v>2.271E-3</v>
      </c>
      <c r="O149" s="6" t="s">
        <v>17</v>
      </c>
    </row>
    <row r="150" spans="1:15" ht="17" x14ac:dyDescent="0.35">
      <c r="A150" s="14">
        <v>109.96</v>
      </c>
      <c r="B150" s="11">
        <v>14.625</v>
      </c>
      <c r="C150" s="6">
        <v>22.195</v>
      </c>
      <c r="D150" s="6">
        <v>4.5055999999999999E-2</v>
      </c>
      <c r="E150" s="6">
        <v>-1.427</v>
      </c>
      <c r="F150" s="6">
        <v>-1.3612</v>
      </c>
      <c r="G150" s="6">
        <v>100.86</v>
      </c>
      <c r="H150" s="6">
        <v>27.082000000000001</v>
      </c>
      <c r="I150" s="6">
        <v>76.774000000000001</v>
      </c>
      <c r="J150" s="6">
        <v>476.98</v>
      </c>
      <c r="K150" s="6">
        <v>3.2805000000000001E-2</v>
      </c>
      <c r="L150" s="6">
        <v>56.061999999999998</v>
      </c>
      <c r="M150" s="6">
        <v>8.0513000000000001E-2</v>
      </c>
      <c r="N150" s="6">
        <v>2.2506000000000002E-3</v>
      </c>
      <c r="O150" s="6" t="s">
        <v>17</v>
      </c>
    </row>
    <row r="151" spans="1:15" ht="17" x14ac:dyDescent="0.35">
      <c r="A151" s="14">
        <v>110.08</v>
      </c>
      <c r="B151" s="11">
        <v>14.725</v>
      </c>
      <c r="C151" s="6">
        <v>22.161999999999999</v>
      </c>
      <c r="D151" s="6">
        <v>4.5122000000000002E-2</v>
      </c>
      <c r="E151" s="6">
        <v>-1.4188000000000001</v>
      </c>
      <c r="F151" s="6">
        <v>-1.3524</v>
      </c>
      <c r="G151" s="6">
        <v>100.94</v>
      </c>
      <c r="H151" s="6">
        <v>27.082000000000001</v>
      </c>
      <c r="I151" s="6">
        <v>77.001999999999995</v>
      </c>
      <c r="J151" s="6">
        <v>475.34</v>
      </c>
      <c r="K151" s="6">
        <v>3.3467999999999998E-2</v>
      </c>
      <c r="L151" s="6">
        <v>55.853000000000002</v>
      </c>
      <c r="M151" s="6">
        <v>8.0282000000000006E-2</v>
      </c>
      <c r="N151" s="6">
        <v>2.2303000000000002E-3</v>
      </c>
      <c r="O151" s="6" t="s">
        <v>17</v>
      </c>
    </row>
    <row r="152" spans="1:15" ht="17" x14ac:dyDescent="0.35">
      <c r="A152" s="14">
        <v>110.2</v>
      </c>
      <c r="B152" s="11">
        <v>14.824999999999999</v>
      </c>
      <c r="C152" s="6">
        <v>22.13</v>
      </c>
      <c r="D152" s="6">
        <v>4.5187999999999999E-2</v>
      </c>
      <c r="E152" s="6">
        <v>-1.4106000000000001</v>
      </c>
      <c r="F152" s="6">
        <v>-1.3435999999999999</v>
      </c>
      <c r="G152" s="6">
        <v>101.02</v>
      </c>
      <c r="H152" s="6">
        <v>27.082000000000001</v>
      </c>
      <c r="I152" s="6">
        <v>77.233000000000004</v>
      </c>
      <c r="J152" s="6">
        <v>473.7</v>
      </c>
      <c r="K152" s="6">
        <v>3.4136E-2</v>
      </c>
      <c r="L152" s="6">
        <v>55.645000000000003</v>
      </c>
      <c r="M152" s="6">
        <v>8.0051999999999998E-2</v>
      </c>
      <c r="N152" s="6">
        <v>2.2101E-3</v>
      </c>
      <c r="O152" s="6" t="s">
        <v>17</v>
      </c>
    </row>
    <row r="153" spans="1:15" ht="17" x14ac:dyDescent="0.35">
      <c r="A153" s="14">
        <v>110.31</v>
      </c>
      <c r="B153" s="11">
        <v>14.925000000000001</v>
      </c>
      <c r="C153" s="6">
        <v>22.097000000000001</v>
      </c>
      <c r="D153" s="6">
        <v>4.5254999999999997E-2</v>
      </c>
      <c r="E153" s="6">
        <v>-1.4024000000000001</v>
      </c>
      <c r="F153" s="6">
        <v>-1.3349</v>
      </c>
      <c r="G153" s="6">
        <v>101.09</v>
      </c>
      <c r="H153" s="6">
        <v>27.082999999999998</v>
      </c>
      <c r="I153" s="6">
        <v>77.465999999999994</v>
      </c>
      <c r="J153" s="6">
        <v>472.06</v>
      </c>
      <c r="K153" s="6">
        <v>3.4806999999999998E-2</v>
      </c>
      <c r="L153" s="6">
        <v>55.438000000000002</v>
      </c>
      <c r="M153" s="6">
        <v>7.9823000000000005E-2</v>
      </c>
      <c r="N153" s="6">
        <v>2.1900999999999999E-3</v>
      </c>
      <c r="O153" s="6" t="s">
        <v>17</v>
      </c>
    </row>
    <row r="154" spans="1:15" ht="17" x14ac:dyDescent="0.35">
      <c r="A154" s="14">
        <v>110.43</v>
      </c>
      <c r="B154" s="11">
        <v>15.025</v>
      </c>
      <c r="C154" s="6">
        <v>22.065000000000001</v>
      </c>
      <c r="D154" s="6">
        <v>4.5322000000000001E-2</v>
      </c>
      <c r="E154" s="6">
        <v>-1.3942000000000001</v>
      </c>
      <c r="F154" s="6">
        <v>-1.3261000000000001</v>
      </c>
      <c r="G154" s="6">
        <v>101.17</v>
      </c>
      <c r="H154" s="6">
        <v>27.082999999999998</v>
      </c>
      <c r="I154" s="6">
        <v>77.700999999999993</v>
      </c>
      <c r="J154" s="6">
        <v>470.43</v>
      </c>
      <c r="K154" s="6">
        <v>3.5484000000000002E-2</v>
      </c>
      <c r="L154" s="6">
        <v>55.232999999999997</v>
      </c>
      <c r="M154" s="6">
        <v>7.9596E-2</v>
      </c>
      <c r="N154" s="6">
        <v>2.1702000000000002E-3</v>
      </c>
      <c r="O154" s="6" t="s">
        <v>17</v>
      </c>
    </row>
    <row r="155" spans="1:15" ht="17" x14ac:dyDescent="0.35">
      <c r="A155" s="14">
        <v>110.54</v>
      </c>
      <c r="B155" s="11">
        <v>15.125</v>
      </c>
      <c r="C155" s="6">
        <v>22.032</v>
      </c>
      <c r="D155" s="6">
        <v>4.5388999999999999E-2</v>
      </c>
      <c r="E155" s="6">
        <v>-1.3861000000000001</v>
      </c>
      <c r="F155" s="6">
        <v>-1.3173999999999999</v>
      </c>
      <c r="G155" s="6">
        <v>101.24</v>
      </c>
      <c r="H155" s="6">
        <v>27.084</v>
      </c>
      <c r="I155" s="6">
        <v>77.938999999999993</v>
      </c>
      <c r="J155" s="6">
        <v>468.8</v>
      </c>
      <c r="K155" s="6">
        <v>3.6164000000000002E-2</v>
      </c>
      <c r="L155" s="6">
        <v>55.029000000000003</v>
      </c>
      <c r="M155" s="6">
        <v>7.9368999999999995E-2</v>
      </c>
      <c r="N155" s="6">
        <v>2.1503999999999998E-3</v>
      </c>
      <c r="O155" s="6" t="s">
        <v>17</v>
      </c>
    </row>
    <row r="156" spans="1:15" ht="17" x14ac:dyDescent="0.35">
      <c r="A156" s="14">
        <v>110.66</v>
      </c>
      <c r="B156" s="11">
        <v>15.225</v>
      </c>
      <c r="C156" s="6">
        <v>22</v>
      </c>
      <c r="D156" s="6">
        <v>4.5456000000000003E-2</v>
      </c>
      <c r="E156" s="6">
        <v>-1.3779999999999999</v>
      </c>
      <c r="F156" s="6">
        <v>-1.3088</v>
      </c>
      <c r="G156" s="6">
        <v>101.32</v>
      </c>
      <c r="H156" s="6">
        <v>27.085000000000001</v>
      </c>
      <c r="I156" s="6">
        <v>78.179000000000002</v>
      </c>
      <c r="J156" s="6">
        <v>467.18</v>
      </c>
      <c r="K156" s="6">
        <v>3.6850000000000001E-2</v>
      </c>
      <c r="L156" s="6">
        <v>54.826000000000001</v>
      </c>
      <c r="M156" s="6">
        <v>7.9143000000000005E-2</v>
      </c>
      <c r="N156" s="6">
        <v>2.1308E-3</v>
      </c>
      <c r="O156" s="6" t="s">
        <v>17</v>
      </c>
    </row>
    <row r="157" spans="1:15" ht="17" x14ac:dyDescent="0.35">
      <c r="A157" s="14">
        <v>110.77</v>
      </c>
      <c r="B157" s="11">
        <v>15.324999999999999</v>
      </c>
      <c r="C157" s="6">
        <v>21.966999999999999</v>
      </c>
      <c r="D157" s="6">
        <v>4.5523000000000001E-2</v>
      </c>
      <c r="E157" s="6">
        <v>-1.3698999999999999</v>
      </c>
      <c r="F157" s="6">
        <v>-1.3001</v>
      </c>
      <c r="G157" s="6">
        <v>101.39</v>
      </c>
      <c r="H157" s="6">
        <v>27.085999999999999</v>
      </c>
      <c r="I157" s="6">
        <v>78.421000000000006</v>
      </c>
      <c r="J157" s="6">
        <v>465.56</v>
      </c>
      <c r="K157" s="6">
        <v>3.7539000000000003E-2</v>
      </c>
      <c r="L157" s="6">
        <v>54.625</v>
      </c>
      <c r="M157" s="6">
        <v>7.8919000000000003E-2</v>
      </c>
      <c r="N157" s="6">
        <v>2.1113E-3</v>
      </c>
      <c r="O157" s="6" t="s">
        <v>17</v>
      </c>
    </row>
    <row r="158" spans="1:15" ht="17" x14ac:dyDescent="0.35">
      <c r="A158" s="14">
        <v>110.89</v>
      </c>
      <c r="B158" s="11">
        <v>15.425000000000001</v>
      </c>
      <c r="C158" s="6">
        <v>21.934999999999999</v>
      </c>
      <c r="D158" s="6">
        <v>4.5589999999999999E-2</v>
      </c>
      <c r="E158" s="6">
        <v>-1.3617999999999999</v>
      </c>
      <c r="F158" s="6">
        <v>-1.2915000000000001</v>
      </c>
      <c r="G158" s="6">
        <v>101.46</v>
      </c>
      <c r="H158" s="6">
        <v>27.087</v>
      </c>
      <c r="I158" s="6">
        <v>78.665999999999997</v>
      </c>
      <c r="J158" s="6">
        <v>463.94</v>
      </c>
      <c r="K158" s="6">
        <v>3.8233999999999997E-2</v>
      </c>
      <c r="L158" s="6">
        <v>54.423999999999999</v>
      </c>
      <c r="M158" s="6">
        <v>7.8695000000000001E-2</v>
      </c>
      <c r="N158" s="6">
        <v>2.0918999999999998E-3</v>
      </c>
      <c r="O158" s="6" t="s">
        <v>17</v>
      </c>
    </row>
    <row r="159" spans="1:15" ht="17" x14ac:dyDescent="0.35">
      <c r="A159" s="14">
        <v>111</v>
      </c>
      <c r="B159" s="11">
        <v>15.525</v>
      </c>
      <c r="C159" s="6">
        <v>21.902000000000001</v>
      </c>
      <c r="D159" s="6">
        <v>4.5657999999999997E-2</v>
      </c>
      <c r="E159" s="6">
        <v>-1.3537999999999999</v>
      </c>
      <c r="F159" s="6">
        <v>-1.2828999999999999</v>
      </c>
      <c r="G159" s="6">
        <v>101.54</v>
      </c>
      <c r="H159" s="6">
        <v>27.088999999999999</v>
      </c>
      <c r="I159" s="6">
        <v>78.912999999999997</v>
      </c>
      <c r="J159" s="6">
        <v>462.33</v>
      </c>
      <c r="K159" s="6">
        <v>3.8933000000000002E-2</v>
      </c>
      <c r="L159" s="6">
        <v>54.225000000000001</v>
      </c>
      <c r="M159" s="6">
        <v>7.8473000000000001E-2</v>
      </c>
      <c r="N159" s="6">
        <v>2.0726E-3</v>
      </c>
      <c r="O159" s="6" t="s">
        <v>17</v>
      </c>
    </row>
    <row r="160" spans="1:15" ht="17" x14ac:dyDescent="0.35">
      <c r="A160" s="14">
        <v>111.11</v>
      </c>
      <c r="B160" s="11">
        <v>15.625</v>
      </c>
      <c r="C160" s="6">
        <v>21.87</v>
      </c>
      <c r="D160" s="6">
        <v>4.5725000000000002E-2</v>
      </c>
      <c r="E160" s="6">
        <v>-1.3456999999999999</v>
      </c>
      <c r="F160" s="6">
        <v>-1.2743</v>
      </c>
      <c r="G160" s="6">
        <v>101.61</v>
      </c>
      <c r="H160" s="6">
        <v>27.09</v>
      </c>
      <c r="I160" s="6">
        <v>79.162999999999997</v>
      </c>
      <c r="J160" s="6">
        <v>460.72</v>
      </c>
      <c r="K160" s="6">
        <v>3.9635999999999998E-2</v>
      </c>
      <c r="L160" s="6">
        <v>54.027000000000001</v>
      </c>
      <c r="M160" s="6">
        <v>7.8251000000000001E-2</v>
      </c>
      <c r="N160" s="6">
        <v>2.0535000000000002E-3</v>
      </c>
      <c r="O160" s="6" t="s">
        <v>17</v>
      </c>
    </row>
    <row r="161" spans="1:15" ht="17" x14ac:dyDescent="0.35">
      <c r="A161" s="14">
        <v>111.22</v>
      </c>
      <c r="B161" s="11">
        <v>15.725</v>
      </c>
      <c r="C161" s="6">
        <v>21.837</v>
      </c>
      <c r="D161" s="6">
        <v>4.5793E-2</v>
      </c>
      <c r="E161" s="6">
        <v>-1.3376999999999999</v>
      </c>
      <c r="F161" s="6">
        <v>-1.2657</v>
      </c>
      <c r="G161" s="6">
        <v>101.68</v>
      </c>
      <c r="H161" s="6">
        <v>27.091999999999999</v>
      </c>
      <c r="I161" s="6">
        <v>79.415000000000006</v>
      </c>
      <c r="J161" s="6">
        <v>459.12</v>
      </c>
      <c r="K161" s="6">
        <v>4.0344999999999999E-2</v>
      </c>
      <c r="L161" s="6">
        <v>53.83</v>
      </c>
      <c r="M161" s="6">
        <v>7.8031000000000003E-2</v>
      </c>
      <c r="N161" s="6">
        <v>2.0344999999999999E-3</v>
      </c>
      <c r="O161" s="6" t="s">
        <v>17</v>
      </c>
    </row>
    <row r="162" spans="1:15" ht="17" x14ac:dyDescent="0.35">
      <c r="A162" s="14">
        <v>111.34</v>
      </c>
      <c r="B162" s="11">
        <v>15.824999999999999</v>
      </c>
      <c r="C162" s="6">
        <v>21.805</v>
      </c>
      <c r="D162" s="6">
        <v>4.5860999999999999E-2</v>
      </c>
      <c r="E162" s="6">
        <v>-1.3297000000000001</v>
      </c>
      <c r="F162" s="6">
        <v>-1.2571000000000001</v>
      </c>
      <c r="G162" s="6">
        <v>101.76</v>
      </c>
      <c r="H162" s="6">
        <v>27.094000000000001</v>
      </c>
      <c r="I162" s="6">
        <v>79.668999999999997</v>
      </c>
      <c r="J162" s="6">
        <v>457.52</v>
      </c>
      <c r="K162" s="6">
        <v>4.1057999999999997E-2</v>
      </c>
      <c r="L162" s="6">
        <v>53.634999999999998</v>
      </c>
      <c r="M162" s="6">
        <v>7.7812000000000006E-2</v>
      </c>
      <c r="N162" s="6">
        <v>2.0156000000000002E-3</v>
      </c>
      <c r="O162" s="6" t="s">
        <v>17</v>
      </c>
    </row>
    <row r="163" spans="1:15" ht="17" x14ac:dyDescent="0.35">
      <c r="A163" s="14">
        <v>111.45</v>
      </c>
      <c r="B163" s="11">
        <v>15.925000000000001</v>
      </c>
      <c r="C163" s="6">
        <v>21.773</v>
      </c>
      <c r="D163" s="6">
        <v>4.5928999999999998E-2</v>
      </c>
      <c r="E163" s="6">
        <v>-1.3218000000000001</v>
      </c>
      <c r="F163" s="6">
        <v>-1.2485999999999999</v>
      </c>
      <c r="G163" s="6">
        <v>101.83</v>
      </c>
      <c r="H163" s="6">
        <v>27.096</v>
      </c>
      <c r="I163" s="6">
        <v>79.927000000000007</v>
      </c>
      <c r="J163" s="6">
        <v>455.92</v>
      </c>
      <c r="K163" s="6">
        <v>4.1776000000000001E-2</v>
      </c>
      <c r="L163" s="6">
        <v>53.44</v>
      </c>
      <c r="M163" s="6">
        <v>7.7593999999999996E-2</v>
      </c>
      <c r="N163" s="6">
        <v>1.9968E-3</v>
      </c>
      <c r="O163" s="6" t="s">
        <v>17</v>
      </c>
    </row>
    <row r="164" spans="1:15" ht="17" x14ac:dyDescent="0.35">
      <c r="A164" s="14">
        <v>111.56</v>
      </c>
      <c r="B164" s="11">
        <v>16.024999999999999</v>
      </c>
      <c r="C164" s="6">
        <v>21.74</v>
      </c>
      <c r="D164" s="6">
        <v>4.5997000000000003E-2</v>
      </c>
      <c r="E164" s="6">
        <v>-1.3138000000000001</v>
      </c>
      <c r="F164" s="6">
        <v>-1.2401</v>
      </c>
      <c r="G164" s="6">
        <v>101.9</v>
      </c>
      <c r="H164" s="6">
        <v>27.099</v>
      </c>
      <c r="I164" s="6">
        <v>80.186999999999998</v>
      </c>
      <c r="J164" s="6">
        <v>454.33</v>
      </c>
      <c r="K164" s="6">
        <v>4.2499000000000002E-2</v>
      </c>
      <c r="L164" s="6">
        <v>53.247</v>
      </c>
      <c r="M164" s="6">
        <v>7.7376E-2</v>
      </c>
      <c r="N164" s="6">
        <v>1.9781999999999998E-3</v>
      </c>
      <c r="O164" s="6" t="s">
        <v>17</v>
      </c>
    </row>
    <row r="165" spans="1:15" ht="17" x14ac:dyDescent="0.35">
      <c r="A165" s="14">
        <v>111.67</v>
      </c>
      <c r="B165" s="11">
        <v>16.125</v>
      </c>
      <c r="C165" s="6">
        <v>21.707999999999998</v>
      </c>
      <c r="D165" s="6">
        <v>4.6066000000000003E-2</v>
      </c>
      <c r="E165" s="6">
        <v>-1.3059000000000001</v>
      </c>
      <c r="F165" s="6">
        <v>-1.2316</v>
      </c>
      <c r="G165" s="6">
        <v>101.97</v>
      </c>
      <c r="H165" s="6">
        <v>27.100999999999999</v>
      </c>
      <c r="I165" s="6">
        <v>80.448999999999998</v>
      </c>
      <c r="J165" s="6">
        <v>452.74</v>
      </c>
      <c r="K165" s="6">
        <v>4.3227000000000002E-2</v>
      </c>
      <c r="L165" s="6">
        <v>53.054000000000002</v>
      </c>
      <c r="M165" s="6">
        <v>7.7160000000000006E-2</v>
      </c>
      <c r="N165" s="6">
        <v>1.9597E-3</v>
      </c>
      <c r="O165" s="6" t="s">
        <v>17</v>
      </c>
    </row>
    <row r="166" spans="1:15" ht="17" x14ac:dyDescent="0.35">
      <c r="A166" s="14">
        <v>111.78</v>
      </c>
      <c r="B166" s="11">
        <v>16.225000000000001</v>
      </c>
      <c r="C166" s="6">
        <v>21.675999999999998</v>
      </c>
      <c r="D166" s="6">
        <v>4.6135000000000002E-2</v>
      </c>
      <c r="E166" s="6">
        <v>-1.298</v>
      </c>
      <c r="F166" s="6">
        <v>-1.2231000000000001</v>
      </c>
      <c r="G166" s="6">
        <v>102.04</v>
      </c>
      <c r="H166" s="6">
        <v>27.103999999999999</v>
      </c>
      <c r="I166" s="6">
        <v>80.715000000000003</v>
      </c>
      <c r="J166" s="6">
        <v>451.15</v>
      </c>
      <c r="K166" s="6">
        <v>4.3959999999999999E-2</v>
      </c>
      <c r="L166" s="6">
        <v>52.863</v>
      </c>
      <c r="M166" s="6">
        <v>7.6945E-2</v>
      </c>
      <c r="N166" s="6">
        <v>1.9413E-3</v>
      </c>
      <c r="O166" s="6" t="s">
        <v>17</v>
      </c>
    </row>
    <row r="167" spans="1:15" ht="17" x14ac:dyDescent="0.35">
      <c r="A167" s="14">
        <v>111.89</v>
      </c>
      <c r="B167" s="11">
        <v>16.324999999999999</v>
      </c>
      <c r="C167" s="6">
        <v>21.643000000000001</v>
      </c>
      <c r="D167" s="6">
        <v>4.6203000000000001E-2</v>
      </c>
      <c r="E167" s="6">
        <v>-1.2901</v>
      </c>
      <c r="F167" s="6">
        <v>-1.2145999999999999</v>
      </c>
      <c r="G167" s="6">
        <v>102.12</v>
      </c>
      <c r="H167" s="6">
        <v>27.106999999999999</v>
      </c>
      <c r="I167" s="6">
        <v>80.983000000000004</v>
      </c>
      <c r="J167" s="6">
        <v>449.57</v>
      </c>
      <c r="K167" s="6">
        <v>4.4699000000000003E-2</v>
      </c>
      <c r="L167" s="6">
        <v>52.671999999999997</v>
      </c>
      <c r="M167" s="6">
        <v>7.6730000000000007E-2</v>
      </c>
      <c r="N167" s="6">
        <v>1.923E-3</v>
      </c>
      <c r="O167" s="6" t="s">
        <v>17</v>
      </c>
    </row>
    <row r="168" spans="1:15" ht="17" x14ac:dyDescent="0.35">
      <c r="A168" s="14">
        <v>112</v>
      </c>
      <c r="B168" s="11">
        <v>16.425000000000001</v>
      </c>
      <c r="C168" s="6">
        <v>21.611000000000001</v>
      </c>
      <c r="D168" s="6">
        <v>4.6272000000000001E-2</v>
      </c>
      <c r="E168" s="6">
        <v>-1.2822</v>
      </c>
      <c r="F168" s="6">
        <v>-1.2061999999999999</v>
      </c>
      <c r="G168" s="6">
        <v>102.19</v>
      </c>
      <c r="H168" s="6">
        <v>27.11</v>
      </c>
      <c r="I168" s="6">
        <v>81.254000000000005</v>
      </c>
      <c r="J168" s="6">
        <v>447.99</v>
      </c>
      <c r="K168" s="6">
        <v>4.5442000000000003E-2</v>
      </c>
      <c r="L168" s="6">
        <v>52.482999999999997</v>
      </c>
      <c r="M168" s="6">
        <v>7.6517000000000002E-2</v>
      </c>
      <c r="N168" s="6">
        <v>1.9047999999999999E-3</v>
      </c>
      <c r="O168" s="6" t="s">
        <v>17</v>
      </c>
    </row>
    <row r="169" spans="1:15" ht="17" x14ac:dyDescent="0.35">
      <c r="A169" s="14">
        <v>112.1</v>
      </c>
      <c r="B169" s="11">
        <v>16.524999999999999</v>
      </c>
      <c r="C169" s="6">
        <v>21.579000000000001</v>
      </c>
      <c r="D169" s="6">
        <v>4.6342000000000001E-2</v>
      </c>
      <c r="E169" s="6">
        <v>-1.2743</v>
      </c>
      <c r="F169" s="6">
        <v>-1.1978</v>
      </c>
      <c r="G169" s="6">
        <v>102.26</v>
      </c>
      <c r="H169" s="6">
        <v>27.114000000000001</v>
      </c>
      <c r="I169" s="6">
        <v>81.527000000000001</v>
      </c>
      <c r="J169" s="6">
        <v>446.41</v>
      </c>
      <c r="K169" s="6">
        <v>4.6191000000000003E-2</v>
      </c>
      <c r="L169" s="6">
        <v>52.295000000000002</v>
      </c>
      <c r="M169" s="6">
        <v>7.6303999999999997E-2</v>
      </c>
      <c r="N169" s="6">
        <v>1.8867000000000001E-3</v>
      </c>
      <c r="O169" s="6" t="s">
        <v>17</v>
      </c>
    </row>
    <row r="170" spans="1:15" ht="17" x14ac:dyDescent="0.35">
      <c r="A170" s="14">
        <v>112.21</v>
      </c>
      <c r="B170" s="11">
        <v>16.625</v>
      </c>
      <c r="C170" s="6">
        <v>21.547000000000001</v>
      </c>
      <c r="D170" s="6">
        <v>4.6411000000000001E-2</v>
      </c>
      <c r="E170" s="6">
        <v>-1.2665</v>
      </c>
      <c r="F170" s="6">
        <v>-1.1893</v>
      </c>
      <c r="G170" s="6">
        <v>102.33</v>
      </c>
      <c r="H170" s="6">
        <v>27.117000000000001</v>
      </c>
      <c r="I170" s="6">
        <v>81.804000000000002</v>
      </c>
      <c r="J170" s="6">
        <v>444.84</v>
      </c>
      <c r="K170" s="6">
        <v>4.6944E-2</v>
      </c>
      <c r="L170" s="6">
        <v>52.106999999999999</v>
      </c>
      <c r="M170" s="6">
        <v>7.6092999999999994E-2</v>
      </c>
      <c r="N170" s="6">
        <v>1.8688000000000001E-3</v>
      </c>
      <c r="O170" s="6" t="s">
        <v>17</v>
      </c>
    </row>
    <row r="171" spans="1:15" ht="17" x14ac:dyDescent="0.35">
      <c r="A171" s="14">
        <v>112.32</v>
      </c>
      <c r="B171" s="11">
        <v>16.725000000000001</v>
      </c>
      <c r="C171" s="6">
        <v>21.513999999999999</v>
      </c>
      <c r="D171" s="6">
        <v>4.6481000000000001E-2</v>
      </c>
      <c r="E171" s="6">
        <v>-1.2586999999999999</v>
      </c>
      <c r="F171" s="6">
        <v>-1.1809000000000001</v>
      </c>
      <c r="G171" s="6">
        <v>102.4</v>
      </c>
      <c r="H171" s="6">
        <v>27.120999999999999</v>
      </c>
      <c r="I171" s="6">
        <v>82.084000000000003</v>
      </c>
      <c r="J171" s="6">
        <v>443.26</v>
      </c>
      <c r="K171" s="6">
        <v>4.7704000000000003E-2</v>
      </c>
      <c r="L171" s="6">
        <v>51.920999999999999</v>
      </c>
      <c r="M171" s="6">
        <v>7.5882000000000005E-2</v>
      </c>
      <c r="N171" s="6">
        <v>1.8508999999999999E-3</v>
      </c>
      <c r="O171" s="6" t="s">
        <v>17</v>
      </c>
    </row>
    <row r="172" spans="1:15" ht="17" x14ac:dyDescent="0.35">
      <c r="A172" s="14">
        <v>112.43</v>
      </c>
      <c r="B172" s="11">
        <v>16.824999999999999</v>
      </c>
      <c r="C172" s="6">
        <v>21.481999999999999</v>
      </c>
      <c r="D172" s="6">
        <v>4.6550000000000001E-2</v>
      </c>
      <c r="E172" s="6">
        <v>-1.2508999999999999</v>
      </c>
      <c r="F172" s="6">
        <v>-1.1726000000000001</v>
      </c>
      <c r="G172" s="6">
        <v>102.47</v>
      </c>
      <c r="H172" s="6">
        <v>27.125</v>
      </c>
      <c r="I172" s="6">
        <v>82.367000000000004</v>
      </c>
      <c r="J172" s="6">
        <v>441.7</v>
      </c>
      <c r="K172" s="6">
        <v>4.8467999999999997E-2</v>
      </c>
      <c r="L172" s="6">
        <v>51.735999999999997</v>
      </c>
      <c r="M172" s="6">
        <v>7.5673000000000004E-2</v>
      </c>
      <c r="N172" s="6">
        <v>1.8332000000000001E-3</v>
      </c>
      <c r="O172" s="6" t="s">
        <v>17</v>
      </c>
    </row>
    <row r="173" spans="1:15" ht="17" x14ac:dyDescent="0.35">
      <c r="A173" s="14">
        <v>112.53</v>
      </c>
      <c r="B173" s="11">
        <v>16.925000000000001</v>
      </c>
      <c r="C173" s="6">
        <v>21.45</v>
      </c>
      <c r="D173" s="6">
        <v>4.6620000000000002E-2</v>
      </c>
      <c r="E173" s="6">
        <v>-1.2431000000000001</v>
      </c>
      <c r="F173" s="6">
        <v>-1.1641999999999999</v>
      </c>
      <c r="G173" s="6">
        <v>102.54</v>
      </c>
      <c r="H173" s="6">
        <v>27.129000000000001</v>
      </c>
      <c r="I173" s="6">
        <v>82.653000000000006</v>
      </c>
      <c r="J173" s="6">
        <v>440.13</v>
      </c>
      <c r="K173" s="6">
        <v>4.9237999999999997E-2</v>
      </c>
      <c r="L173" s="6">
        <v>51.551000000000002</v>
      </c>
      <c r="M173" s="6">
        <v>7.5464000000000003E-2</v>
      </c>
      <c r="N173" s="6">
        <v>1.8155999999999999E-3</v>
      </c>
      <c r="O173" s="6" t="s">
        <v>17</v>
      </c>
    </row>
    <row r="174" spans="1:15" ht="17" x14ac:dyDescent="0.35">
      <c r="A174" s="14">
        <v>112.64</v>
      </c>
      <c r="B174" s="11">
        <v>17.024999999999999</v>
      </c>
      <c r="C174" s="6">
        <v>21.417999999999999</v>
      </c>
      <c r="D174" s="6">
        <v>4.6691000000000003E-2</v>
      </c>
      <c r="E174" s="6">
        <v>-1.2353000000000001</v>
      </c>
      <c r="F174" s="6">
        <v>-1.1557999999999999</v>
      </c>
      <c r="G174" s="6">
        <v>102.61</v>
      </c>
      <c r="H174" s="6">
        <v>27.132999999999999</v>
      </c>
      <c r="I174" s="6">
        <v>82.941000000000003</v>
      </c>
      <c r="J174" s="6">
        <v>438.57</v>
      </c>
      <c r="K174" s="6">
        <v>5.0014000000000003E-2</v>
      </c>
      <c r="L174" s="6">
        <v>51.368000000000002</v>
      </c>
      <c r="M174" s="6">
        <v>7.5256000000000003E-2</v>
      </c>
      <c r="N174" s="6">
        <v>1.7979999999999999E-3</v>
      </c>
      <c r="O174" s="6" t="s">
        <v>17</v>
      </c>
    </row>
    <row r="175" spans="1:15" ht="17" x14ac:dyDescent="0.35">
      <c r="A175" s="14">
        <v>112.74</v>
      </c>
      <c r="B175" s="11">
        <v>17.125</v>
      </c>
      <c r="C175" s="6">
        <v>21.385000000000002</v>
      </c>
      <c r="D175" s="6">
        <v>4.6760999999999997E-2</v>
      </c>
      <c r="E175" s="6">
        <v>-1.2276</v>
      </c>
      <c r="F175" s="6">
        <v>-1.1475</v>
      </c>
      <c r="G175" s="6">
        <v>102.68</v>
      </c>
      <c r="H175" s="6">
        <v>27.137</v>
      </c>
      <c r="I175" s="6">
        <v>83.233999999999995</v>
      </c>
      <c r="J175" s="6">
        <v>437.01</v>
      </c>
      <c r="K175" s="6">
        <v>5.0795E-2</v>
      </c>
      <c r="L175" s="6">
        <v>51.185000000000002</v>
      </c>
      <c r="M175" s="6">
        <v>7.5049000000000005E-2</v>
      </c>
      <c r="N175" s="6">
        <v>1.7806E-3</v>
      </c>
      <c r="O175" s="6" t="s">
        <v>17</v>
      </c>
    </row>
    <row r="176" spans="1:15" ht="17" x14ac:dyDescent="0.35">
      <c r="A176" s="14">
        <v>112.85</v>
      </c>
      <c r="B176" s="11">
        <v>17.225000000000001</v>
      </c>
      <c r="C176" s="6">
        <v>21.353000000000002</v>
      </c>
      <c r="D176" s="6">
        <v>4.6831999999999999E-2</v>
      </c>
      <c r="E176" s="6">
        <v>-1.2198</v>
      </c>
      <c r="F176" s="6">
        <v>-1.1392</v>
      </c>
      <c r="G176" s="6">
        <v>102.75</v>
      </c>
      <c r="H176" s="6">
        <v>27.141999999999999</v>
      </c>
      <c r="I176" s="6">
        <v>83.528999999999996</v>
      </c>
      <c r="J176" s="6">
        <v>435.46</v>
      </c>
      <c r="K176" s="6">
        <v>5.1582000000000003E-2</v>
      </c>
      <c r="L176" s="6">
        <v>51.003</v>
      </c>
      <c r="M176" s="6">
        <v>7.4843000000000007E-2</v>
      </c>
      <c r="N176" s="6">
        <v>1.7633E-3</v>
      </c>
      <c r="O176" s="6" t="s">
        <v>17</v>
      </c>
    </row>
    <row r="177" spans="1:15" ht="17" x14ac:dyDescent="0.35">
      <c r="A177" s="14">
        <v>112.95</v>
      </c>
      <c r="B177" s="11">
        <v>17.324999999999999</v>
      </c>
      <c r="C177" s="6">
        <v>21.321000000000002</v>
      </c>
      <c r="D177" s="6">
        <v>4.6903E-2</v>
      </c>
      <c r="E177" s="6">
        <v>-1.2121</v>
      </c>
      <c r="F177" s="6">
        <v>-1.1309</v>
      </c>
      <c r="G177" s="6">
        <v>102.82</v>
      </c>
      <c r="H177" s="6">
        <v>27.146999999999998</v>
      </c>
      <c r="I177" s="6">
        <v>83.828000000000003</v>
      </c>
      <c r="J177" s="6">
        <v>433.9</v>
      </c>
      <c r="K177" s="6">
        <v>5.2374999999999998E-2</v>
      </c>
      <c r="L177" s="6">
        <v>50.822000000000003</v>
      </c>
      <c r="M177" s="6">
        <v>7.4637999999999996E-2</v>
      </c>
      <c r="N177" s="6">
        <v>1.7461E-3</v>
      </c>
      <c r="O177" s="6" t="s">
        <v>17</v>
      </c>
    </row>
    <row r="178" spans="1:15" ht="17" x14ac:dyDescent="0.35">
      <c r="A178" s="14">
        <v>113.06</v>
      </c>
      <c r="B178" s="11">
        <v>17.425000000000001</v>
      </c>
      <c r="C178" s="6">
        <v>21.288</v>
      </c>
      <c r="D178" s="6">
        <v>4.6974000000000002E-2</v>
      </c>
      <c r="E178" s="6">
        <v>-1.2043999999999999</v>
      </c>
      <c r="F178" s="6">
        <v>-1.1226</v>
      </c>
      <c r="G178" s="6">
        <v>102.89</v>
      </c>
      <c r="H178" s="6">
        <v>27.152000000000001</v>
      </c>
      <c r="I178" s="6">
        <v>84.13</v>
      </c>
      <c r="J178" s="6">
        <v>432.35</v>
      </c>
      <c r="K178" s="6">
        <v>5.3173999999999999E-2</v>
      </c>
      <c r="L178" s="6">
        <v>50.642000000000003</v>
      </c>
      <c r="M178" s="6">
        <v>7.4434E-2</v>
      </c>
      <c r="N178" s="6">
        <v>1.7290000000000001E-3</v>
      </c>
      <c r="O178" s="6" t="s">
        <v>17</v>
      </c>
    </row>
    <row r="179" spans="1:15" ht="17" x14ac:dyDescent="0.35">
      <c r="A179" s="14">
        <v>113.16</v>
      </c>
      <c r="B179" s="11">
        <v>17.524999999999999</v>
      </c>
      <c r="C179" s="6">
        <v>21.256</v>
      </c>
      <c r="D179" s="6">
        <v>4.7044999999999997E-2</v>
      </c>
      <c r="E179" s="6">
        <v>-1.1967000000000001</v>
      </c>
      <c r="F179" s="6">
        <v>-1.1143000000000001</v>
      </c>
      <c r="G179" s="6">
        <v>102.96</v>
      </c>
      <c r="H179" s="6">
        <v>27.157</v>
      </c>
      <c r="I179" s="6">
        <v>84.435000000000002</v>
      </c>
      <c r="J179" s="6">
        <v>430.8</v>
      </c>
      <c r="K179" s="6">
        <v>5.3977999999999998E-2</v>
      </c>
      <c r="L179" s="6">
        <v>50.463000000000001</v>
      </c>
      <c r="M179" s="6">
        <v>7.4230000000000004E-2</v>
      </c>
      <c r="N179" s="6">
        <v>1.7121E-3</v>
      </c>
      <c r="O179" s="6" t="s">
        <v>17</v>
      </c>
    </row>
    <row r="180" spans="1:15" ht="17" x14ac:dyDescent="0.35">
      <c r="A180" s="14">
        <v>113.26</v>
      </c>
      <c r="B180" s="11">
        <v>17.625</v>
      </c>
      <c r="C180" s="6">
        <v>21.224</v>
      </c>
      <c r="D180" s="6">
        <v>4.7116999999999999E-2</v>
      </c>
      <c r="E180" s="6">
        <v>-1.1890000000000001</v>
      </c>
      <c r="F180" s="6">
        <v>-1.1060000000000001</v>
      </c>
      <c r="G180" s="6">
        <v>103.03</v>
      </c>
      <c r="H180" s="6">
        <v>27.161999999999999</v>
      </c>
      <c r="I180" s="6">
        <v>84.744</v>
      </c>
      <c r="J180" s="6">
        <v>429.26</v>
      </c>
      <c r="K180" s="6">
        <v>5.4788000000000003E-2</v>
      </c>
      <c r="L180" s="6">
        <v>50.284999999999997</v>
      </c>
      <c r="M180" s="6">
        <v>7.4027999999999997E-2</v>
      </c>
      <c r="N180" s="6">
        <v>1.6952E-3</v>
      </c>
      <c r="O180" s="6" t="s">
        <v>17</v>
      </c>
    </row>
    <row r="181" spans="1:15" ht="17" x14ac:dyDescent="0.35">
      <c r="A181" s="14">
        <v>113.37</v>
      </c>
      <c r="B181" s="11">
        <v>17.725000000000001</v>
      </c>
      <c r="C181" s="6">
        <v>21.192</v>
      </c>
      <c r="D181" s="6">
        <v>4.7188000000000001E-2</v>
      </c>
      <c r="E181" s="6">
        <v>-1.1814</v>
      </c>
      <c r="F181" s="6">
        <v>-1.0976999999999999</v>
      </c>
      <c r="G181" s="6">
        <v>103.1</v>
      </c>
      <c r="H181" s="6">
        <v>27.167999999999999</v>
      </c>
      <c r="I181" s="6">
        <v>85.057000000000002</v>
      </c>
      <c r="J181" s="6">
        <v>427.72</v>
      </c>
      <c r="K181" s="6">
        <v>5.5605000000000002E-2</v>
      </c>
      <c r="L181" s="6">
        <v>50.106999999999999</v>
      </c>
      <c r="M181" s="6">
        <v>7.3826000000000003E-2</v>
      </c>
      <c r="N181" s="6">
        <v>1.6784E-3</v>
      </c>
      <c r="O181" s="6" t="s">
        <v>17</v>
      </c>
    </row>
    <row r="182" spans="1:15" ht="17" x14ac:dyDescent="0.35">
      <c r="A182" s="14">
        <v>113.47</v>
      </c>
      <c r="B182" s="11">
        <v>17.824999999999999</v>
      </c>
      <c r="C182" s="6">
        <v>21.158999999999999</v>
      </c>
      <c r="D182" s="6">
        <v>4.7260000000000003E-2</v>
      </c>
      <c r="E182" s="6">
        <v>-1.1737</v>
      </c>
      <c r="F182" s="6">
        <v>-1.0894999999999999</v>
      </c>
      <c r="G182" s="6">
        <v>103.16</v>
      </c>
      <c r="H182" s="6">
        <v>27.173999999999999</v>
      </c>
      <c r="I182" s="6">
        <v>85.373000000000005</v>
      </c>
      <c r="J182" s="6">
        <v>426.18</v>
      </c>
      <c r="K182" s="6">
        <v>5.6426999999999998E-2</v>
      </c>
      <c r="L182" s="6">
        <v>49.93</v>
      </c>
      <c r="M182" s="6">
        <v>7.3625999999999997E-2</v>
      </c>
      <c r="N182" s="6">
        <v>1.6616999999999999E-3</v>
      </c>
      <c r="O182" s="6" t="s">
        <v>17</v>
      </c>
    </row>
    <row r="183" spans="1:15" ht="17" x14ac:dyDescent="0.35">
      <c r="A183" s="14">
        <v>113.57</v>
      </c>
      <c r="B183" s="11">
        <v>17.925000000000001</v>
      </c>
      <c r="C183" s="6">
        <v>21.126999999999999</v>
      </c>
      <c r="D183" s="6">
        <v>4.7333E-2</v>
      </c>
      <c r="E183" s="6">
        <v>-1.1660999999999999</v>
      </c>
      <c r="F183" s="6">
        <v>-1.0812999999999999</v>
      </c>
      <c r="G183" s="6">
        <v>103.23</v>
      </c>
      <c r="H183" s="6">
        <v>27.18</v>
      </c>
      <c r="I183" s="6">
        <v>85.692999999999998</v>
      </c>
      <c r="J183" s="6">
        <v>424.64</v>
      </c>
      <c r="K183" s="6">
        <v>5.7256000000000001E-2</v>
      </c>
      <c r="L183" s="6">
        <v>49.753999999999998</v>
      </c>
      <c r="M183" s="6">
        <v>7.3426000000000005E-2</v>
      </c>
      <c r="N183" s="6">
        <v>1.6451E-3</v>
      </c>
      <c r="O183" s="6" t="s">
        <v>17</v>
      </c>
    </row>
    <row r="184" spans="1:15" ht="17" x14ac:dyDescent="0.35">
      <c r="A184" s="14">
        <v>113.67</v>
      </c>
      <c r="B184" s="11">
        <v>18.024999999999999</v>
      </c>
      <c r="C184" s="6">
        <v>21.094999999999999</v>
      </c>
      <c r="D184" s="6">
        <v>4.7405000000000003E-2</v>
      </c>
      <c r="E184" s="6">
        <v>-1.1585000000000001</v>
      </c>
      <c r="F184" s="6">
        <v>-1.073</v>
      </c>
      <c r="G184" s="6">
        <v>103.3</v>
      </c>
      <c r="H184" s="6">
        <v>27.186</v>
      </c>
      <c r="I184" s="6">
        <v>86.016000000000005</v>
      </c>
      <c r="J184" s="6">
        <v>423.11</v>
      </c>
      <c r="K184" s="6">
        <v>5.8090999999999997E-2</v>
      </c>
      <c r="L184" s="6">
        <v>49.579000000000001</v>
      </c>
      <c r="M184" s="6">
        <v>7.3225999999999999E-2</v>
      </c>
      <c r="N184" s="6">
        <v>1.6287000000000001E-3</v>
      </c>
      <c r="O184" s="6" t="s">
        <v>17</v>
      </c>
    </row>
    <row r="185" spans="1:15" ht="17" x14ac:dyDescent="0.35">
      <c r="A185" s="14">
        <v>113.77</v>
      </c>
      <c r="B185" s="11">
        <v>18.125</v>
      </c>
      <c r="C185" s="6">
        <v>21.062000000000001</v>
      </c>
      <c r="D185" s="6">
        <v>4.7477999999999999E-2</v>
      </c>
      <c r="E185" s="6">
        <v>-1.1509</v>
      </c>
      <c r="F185" s="6">
        <v>-1.0648</v>
      </c>
      <c r="G185" s="6">
        <v>103.37</v>
      </c>
      <c r="H185" s="6">
        <v>27.192</v>
      </c>
      <c r="I185" s="6">
        <v>86.343000000000004</v>
      </c>
      <c r="J185" s="6">
        <v>421.57</v>
      </c>
      <c r="K185" s="6">
        <v>5.8931999999999998E-2</v>
      </c>
      <c r="L185" s="6">
        <v>49.405000000000001</v>
      </c>
      <c r="M185" s="6">
        <v>7.3027999999999996E-2</v>
      </c>
      <c r="N185" s="6">
        <v>1.6123000000000001E-3</v>
      </c>
      <c r="O185" s="6" t="s">
        <v>17</v>
      </c>
    </row>
    <row r="186" spans="1:15" ht="17" x14ac:dyDescent="0.35">
      <c r="A186" s="14">
        <v>113.87</v>
      </c>
      <c r="B186" s="11">
        <v>18.225000000000001</v>
      </c>
      <c r="C186" s="6">
        <v>21.03</v>
      </c>
      <c r="D186" s="6">
        <v>4.7551000000000003E-2</v>
      </c>
      <c r="E186" s="6">
        <v>-1.1433</v>
      </c>
      <c r="F186" s="6">
        <v>-1.0566</v>
      </c>
      <c r="G186" s="6">
        <v>103.44</v>
      </c>
      <c r="H186" s="6">
        <v>27.199000000000002</v>
      </c>
      <c r="I186" s="6">
        <v>86.674999999999997</v>
      </c>
      <c r="J186" s="6">
        <v>420.04</v>
      </c>
      <c r="K186" s="6">
        <v>5.978E-2</v>
      </c>
      <c r="L186" s="6">
        <v>49.231000000000002</v>
      </c>
      <c r="M186" s="6">
        <v>7.2831000000000007E-2</v>
      </c>
      <c r="N186" s="6">
        <v>1.596E-3</v>
      </c>
      <c r="O186" s="6" t="s">
        <v>17</v>
      </c>
    </row>
    <row r="187" spans="1:15" ht="17" x14ac:dyDescent="0.35">
      <c r="A187" s="14">
        <v>113.97</v>
      </c>
      <c r="B187" s="11">
        <v>18.324999999999999</v>
      </c>
      <c r="C187" s="6">
        <v>20.998000000000001</v>
      </c>
      <c r="D187" s="6">
        <v>4.7624E-2</v>
      </c>
      <c r="E187" s="6">
        <v>-1.1356999999999999</v>
      </c>
      <c r="F187" s="6">
        <v>-1.0484</v>
      </c>
      <c r="G187" s="6">
        <v>103.5</v>
      </c>
      <c r="H187" s="6">
        <v>27.206</v>
      </c>
      <c r="I187" s="6">
        <v>87.01</v>
      </c>
      <c r="J187" s="6">
        <v>418.52</v>
      </c>
      <c r="K187" s="6">
        <v>6.0634E-2</v>
      </c>
      <c r="L187" s="6">
        <v>49.058</v>
      </c>
      <c r="M187" s="6">
        <v>7.2634000000000004E-2</v>
      </c>
      <c r="N187" s="6">
        <v>1.5797999999999999E-3</v>
      </c>
      <c r="O187" s="6" t="s">
        <v>17</v>
      </c>
    </row>
    <row r="188" spans="1:15" ht="17" x14ac:dyDescent="0.35">
      <c r="A188" s="14">
        <v>114.07</v>
      </c>
      <c r="B188" s="11">
        <v>18.425000000000001</v>
      </c>
      <c r="C188" s="6">
        <v>20.965</v>
      </c>
      <c r="D188" s="6">
        <v>4.7697999999999997E-2</v>
      </c>
      <c r="E188" s="6">
        <v>-1.1281000000000001</v>
      </c>
      <c r="F188" s="6">
        <v>-1.0402</v>
      </c>
      <c r="G188" s="6">
        <v>103.57</v>
      </c>
      <c r="H188" s="6">
        <v>27.213000000000001</v>
      </c>
      <c r="I188" s="6">
        <v>87.349000000000004</v>
      </c>
      <c r="J188" s="6">
        <v>416.99</v>
      </c>
      <c r="K188" s="6">
        <v>6.1495000000000001E-2</v>
      </c>
      <c r="L188" s="6">
        <v>48.886000000000003</v>
      </c>
      <c r="M188" s="6">
        <v>7.2438000000000002E-2</v>
      </c>
      <c r="N188" s="6">
        <v>1.5636999999999999E-3</v>
      </c>
      <c r="O188" s="6" t="s">
        <v>17</v>
      </c>
    </row>
    <row r="189" spans="1:15" ht="17" x14ac:dyDescent="0.35">
      <c r="A189" s="14">
        <v>114.17</v>
      </c>
      <c r="B189" s="11">
        <v>18.524999999999999</v>
      </c>
      <c r="C189" s="6">
        <v>20.933</v>
      </c>
      <c r="D189" s="6">
        <v>4.7772000000000002E-2</v>
      </c>
      <c r="E189" s="6">
        <v>-1.1206</v>
      </c>
      <c r="F189" s="6">
        <v>-1.0321</v>
      </c>
      <c r="G189" s="6">
        <v>103.64</v>
      </c>
      <c r="H189" s="6">
        <v>27.22</v>
      </c>
      <c r="I189" s="6">
        <v>87.692999999999998</v>
      </c>
      <c r="J189" s="6">
        <v>415.47</v>
      </c>
      <c r="K189" s="6">
        <v>6.2363000000000002E-2</v>
      </c>
      <c r="L189" s="6">
        <v>48.713999999999999</v>
      </c>
      <c r="M189" s="6">
        <v>7.2243000000000002E-2</v>
      </c>
      <c r="N189" s="6">
        <v>1.5476999999999999E-3</v>
      </c>
      <c r="O189" s="6" t="s">
        <v>17</v>
      </c>
    </row>
    <row r="190" spans="1:15" ht="17" x14ac:dyDescent="0.35">
      <c r="A190" s="14">
        <v>114.27</v>
      </c>
      <c r="B190" s="11">
        <v>18.625</v>
      </c>
      <c r="C190" s="6">
        <v>20.9</v>
      </c>
      <c r="D190" s="6">
        <v>4.7846E-2</v>
      </c>
      <c r="E190" s="6">
        <v>-1.113</v>
      </c>
      <c r="F190" s="6">
        <v>-1.0239</v>
      </c>
      <c r="G190" s="6">
        <v>103.71</v>
      </c>
      <c r="H190" s="6">
        <v>27.227</v>
      </c>
      <c r="I190" s="6">
        <v>88.04</v>
      </c>
      <c r="J190" s="6">
        <v>413.95</v>
      </c>
      <c r="K190" s="6">
        <v>6.3237000000000002E-2</v>
      </c>
      <c r="L190" s="6">
        <v>48.542999999999999</v>
      </c>
      <c r="M190" s="6">
        <v>7.2049000000000002E-2</v>
      </c>
      <c r="N190" s="6">
        <v>1.5318E-3</v>
      </c>
      <c r="O190" s="6" t="s">
        <v>17</v>
      </c>
    </row>
    <row r="191" spans="1:15" ht="17" x14ac:dyDescent="0.35">
      <c r="A191" s="14">
        <v>114.37</v>
      </c>
      <c r="B191" s="11">
        <v>18.725000000000001</v>
      </c>
      <c r="C191" s="6">
        <v>20.867999999999999</v>
      </c>
      <c r="D191" s="6">
        <v>4.7919999999999997E-2</v>
      </c>
      <c r="E191" s="6">
        <v>-1.1054999999999999</v>
      </c>
      <c r="F191" s="6">
        <v>-1.0158</v>
      </c>
      <c r="G191" s="6">
        <v>103.77</v>
      </c>
      <c r="H191" s="6">
        <v>27.234999999999999</v>
      </c>
      <c r="I191" s="6">
        <v>88.391999999999996</v>
      </c>
      <c r="J191" s="6">
        <v>412.43</v>
      </c>
      <c r="K191" s="6">
        <v>6.4117999999999994E-2</v>
      </c>
      <c r="L191" s="6">
        <v>48.372999999999998</v>
      </c>
      <c r="M191" s="6">
        <v>7.1855000000000002E-2</v>
      </c>
      <c r="N191" s="6">
        <v>1.516E-3</v>
      </c>
      <c r="O191" s="6" t="s">
        <v>17</v>
      </c>
    </row>
    <row r="192" spans="1:15" ht="17" x14ac:dyDescent="0.35">
      <c r="A192" s="14">
        <v>114.47</v>
      </c>
      <c r="B192" s="11">
        <v>18.824999999999999</v>
      </c>
      <c r="C192" s="6">
        <v>20.835999999999999</v>
      </c>
      <c r="D192" s="6">
        <v>4.7995000000000003E-2</v>
      </c>
      <c r="E192" s="6">
        <v>-1.0980000000000001</v>
      </c>
      <c r="F192" s="6">
        <v>-1.0076000000000001</v>
      </c>
      <c r="G192" s="6">
        <v>103.84</v>
      </c>
      <c r="H192" s="6">
        <v>27.242999999999999</v>
      </c>
      <c r="I192" s="6">
        <v>88.748000000000005</v>
      </c>
      <c r="J192" s="6">
        <v>410.91</v>
      </c>
      <c r="K192" s="6">
        <v>6.5005999999999994E-2</v>
      </c>
      <c r="L192" s="6">
        <v>48.204000000000001</v>
      </c>
      <c r="M192" s="6">
        <v>7.1663000000000004E-2</v>
      </c>
      <c r="N192" s="6">
        <v>1.5003E-3</v>
      </c>
      <c r="O192" s="6" t="s">
        <v>17</v>
      </c>
    </row>
    <row r="193" spans="1:15" ht="17" x14ac:dyDescent="0.35">
      <c r="A193" s="14">
        <v>114.57</v>
      </c>
      <c r="B193" s="11">
        <v>18.925000000000001</v>
      </c>
      <c r="C193" s="6">
        <v>20.803000000000001</v>
      </c>
      <c r="D193" s="6">
        <v>4.8070000000000002E-2</v>
      </c>
      <c r="E193" s="6">
        <v>-1.0905</v>
      </c>
      <c r="F193" s="6">
        <v>-0.99948000000000004</v>
      </c>
      <c r="G193" s="6">
        <v>103.91</v>
      </c>
      <c r="H193" s="6">
        <v>27.251000000000001</v>
      </c>
      <c r="I193" s="6">
        <v>89.108999999999995</v>
      </c>
      <c r="J193" s="6">
        <v>409.39</v>
      </c>
      <c r="K193" s="6">
        <v>6.5901000000000001E-2</v>
      </c>
      <c r="L193" s="6">
        <v>48.034999999999997</v>
      </c>
      <c r="M193" s="6">
        <v>7.1471000000000007E-2</v>
      </c>
      <c r="N193" s="6">
        <v>1.4847E-3</v>
      </c>
      <c r="O193" s="6" t="s">
        <v>17</v>
      </c>
    </row>
    <row r="194" spans="1:15" ht="17" x14ac:dyDescent="0.35">
      <c r="A194" s="14">
        <v>114.67</v>
      </c>
      <c r="B194" s="11">
        <v>19.024999999999999</v>
      </c>
      <c r="C194" s="6">
        <v>20.771000000000001</v>
      </c>
      <c r="D194" s="6">
        <v>4.8145E-2</v>
      </c>
      <c r="E194" s="6">
        <v>-1.0829</v>
      </c>
      <c r="F194" s="6">
        <v>-0.99134999999999995</v>
      </c>
      <c r="G194" s="6">
        <v>103.97</v>
      </c>
      <c r="H194" s="6">
        <v>27.259</v>
      </c>
      <c r="I194" s="6">
        <v>89.474000000000004</v>
      </c>
      <c r="J194" s="6">
        <v>407.88</v>
      </c>
      <c r="K194" s="6">
        <v>6.6803000000000001E-2</v>
      </c>
      <c r="L194" s="6">
        <v>47.866</v>
      </c>
      <c r="M194" s="6">
        <v>7.1279999999999996E-2</v>
      </c>
      <c r="N194" s="6">
        <v>1.4691999999999999E-3</v>
      </c>
      <c r="O194" s="6" t="s">
        <v>17</v>
      </c>
    </row>
    <row r="195" spans="1:15" ht="17" x14ac:dyDescent="0.35">
      <c r="A195" s="14">
        <v>114.76</v>
      </c>
      <c r="B195" s="11">
        <v>19.125</v>
      </c>
      <c r="C195" s="6">
        <v>20.738</v>
      </c>
      <c r="D195" s="6">
        <v>4.8221E-2</v>
      </c>
      <c r="E195" s="6">
        <v>-1.0754999999999999</v>
      </c>
      <c r="F195" s="6">
        <v>-0.98323000000000005</v>
      </c>
      <c r="G195" s="6">
        <v>104.04</v>
      </c>
      <c r="H195" s="6">
        <v>27.268000000000001</v>
      </c>
      <c r="I195" s="6">
        <v>89.843999999999994</v>
      </c>
      <c r="J195" s="6">
        <v>406.37</v>
      </c>
      <c r="K195" s="6">
        <v>6.7712999999999995E-2</v>
      </c>
      <c r="L195" s="6">
        <v>47.698999999999998</v>
      </c>
      <c r="M195" s="6">
        <v>7.1088999999999999E-2</v>
      </c>
      <c r="N195" s="6">
        <v>1.4537E-3</v>
      </c>
      <c r="O195" s="6" t="s">
        <v>17</v>
      </c>
    </row>
    <row r="196" spans="1:15" ht="17" x14ac:dyDescent="0.35">
      <c r="A196" s="14">
        <v>114.86</v>
      </c>
      <c r="B196" s="11">
        <v>19.225000000000001</v>
      </c>
      <c r="C196" s="6">
        <v>20.704999999999998</v>
      </c>
      <c r="D196" s="6">
        <v>4.8297E-2</v>
      </c>
      <c r="E196" s="6">
        <v>-1.0680000000000001</v>
      </c>
      <c r="F196" s="6">
        <v>-0.97511999999999999</v>
      </c>
      <c r="G196" s="6">
        <v>104.11</v>
      </c>
      <c r="H196" s="6">
        <v>27.277000000000001</v>
      </c>
      <c r="I196" s="6">
        <v>90.218000000000004</v>
      </c>
      <c r="J196" s="6">
        <v>404.86</v>
      </c>
      <c r="K196" s="6">
        <v>6.8628999999999996E-2</v>
      </c>
      <c r="L196" s="6">
        <v>47.531999999999996</v>
      </c>
      <c r="M196" s="6">
        <v>7.0900000000000005E-2</v>
      </c>
      <c r="N196" s="6">
        <v>1.4384000000000001E-3</v>
      </c>
      <c r="O196" s="6" t="s">
        <v>17</v>
      </c>
    </row>
    <row r="197" spans="1:15" ht="17" x14ac:dyDescent="0.35">
      <c r="A197" s="14">
        <v>114.96</v>
      </c>
      <c r="B197" s="11">
        <v>19.324999999999999</v>
      </c>
      <c r="C197" s="6">
        <v>20.672999999999998</v>
      </c>
      <c r="D197" s="6">
        <v>4.8372999999999999E-2</v>
      </c>
      <c r="E197" s="6">
        <v>-1.0605</v>
      </c>
      <c r="F197" s="6">
        <v>-0.96701999999999999</v>
      </c>
      <c r="G197" s="6">
        <v>104.17</v>
      </c>
      <c r="H197" s="6">
        <v>27.285</v>
      </c>
      <c r="I197" s="6">
        <v>90.597999999999999</v>
      </c>
      <c r="J197" s="6">
        <v>403.35</v>
      </c>
      <c r="K197" s="6">
        <v>6.9554000000000005E-2</v>
      </c>
      <c r="L197" s="6">
        <v>47.365000000000002</v>
      </c>
      <c r="M197" s="6">
        <v>7.0710999999999996E-2</v>
      </c>
      <c r="N197" s="6">
        <v>1.4231999999999999E-3</v>
      </c>
      <c r="O197" s="6" t="s">
        <v>17</v>
      </c>
    </row>
    <row r="198" spans="1:15" ht="17" x14ac:dyDescent="0.35">
      <c r="A198" s="14">
        <v>115.05</v>
      </c>
      <c r="B198" s="11">
        <v>19.425000000000001</v>
      </c>
      <c r="C198" s="6">
        <v>20.64</v>
      </c>
      <c r="D198" s="6">
        <v>4.8448999999999999E-2</v>
      </c>
      <c r="E198" s="6">
        <v>-1.0529999999999999</v>
      </c>
      <c r="F198" s="6">
        <v>-0.95891999999999999</v>
      </c>
      <c r="G198" s="6">
        <v>104.24</v>
      </c>
      <c r="H198" s="6">
        <v>27.295000000000002</v>
      </c>
      <c r="I198" s="6">
        <v>90.981999999999999</v>
      </c>
      <c r="J198" s="6">
        <v>401.85</v>
      </c>
      <c r="K198" s="6">
        <v>7.0485000000000006E-2</v>
      </c>
      <c r="L198" s="6">
        <v>47.2</v>
      </c>
      <c r="M198" s="6">
        <v>7.0523000000000002E-2</v>
      </c>
      <c r="N198" s="6">
        <v>1.408E-3</v>
      </c>
      <c r="O198" s="6" t="s">
        <v>17</v>
      </c>
    </row>
    <row r="199" spans="1:15" ht="17" x14ac:dyDescent="0.35">
      <c r="A199" s="14">
        <v>115.15</v>
      </c>
      <c r="B199" s="11">
        <v>19.524999999999999</v>
      </c>
      <c r="C199" s="6">
        <v>20.608000000000001</v>
      </c>
      <c r="D199" s="6">
        <v>4.8526E-2</v>
      </c>
      <c r="E199" s="6">
        <v>-1.0456000000000001</v>
      </c>
      <c r="F199" s="6">
        <v>-0.95084000000000002</v>
      </c>
      <c r="G199" s="6">
        <v>104.31</v>
      </c>
      <c r="H199" s="6">
        <v>27.303999999999998</v>
      </c>
      <c r="I199" s="6">
        <v>91.370999999999995</v>
      </c>
      <c r="J199" s="6">
        <v>400.34</v>
      </c>
      <c r="K199" s="6">
        <v>7.1425000000000002E-2</v>
      </c>
      <c r="L199" s="6">
        <v>47.033999999999999</v>
      </c>
      <c r="M199" s="6">
        <v>7.0335999999999996E-2</v>
      </c>
      <c r="N199" s="6">
        <v>1.3929000000000001E-3</v>
      </c>
      <c r="O199" s="6" t="s">
        <v>17</v>
      </c>
    </row>
    <row r="200" spans="1:15" ht="17" x14ac:dyDescent="0.35">
      <c r="A200" s="14">
        <v>115.24</v>
      </c>
      <c r="B200" s="11">
        <v>19.625</v>
      </c>
      <c r="C200" s="6">
        <v>20.574999999999999</v>
      </c>
      <c r="D200" s="6">
        <v>4.8603E-2</v>
      </c>
      <c r="E200" s="6">
        <v>-1.0381</v>
      </c>
      <c r="F200" s="6">
        <v>-0.94274999999999998</v>
      </c>
      <c r="G200" s="6">
        <v>104.37</v>
      </c>
      <c r="H200" s="6">
        <v>27.314</v>
      </c>
      <c r="I200" s="6">
        <v>91.766000000000005</v>
      </c>
      <c r="J200" s="6">
        <v>398.84</v>
      </c>
      <c r="K200" s="6">
        <v>7.2372000000000006E-2</v>
      </c>
      <c r="L200" s="6">
        <v>46.87</v>
      </c>
      <c r="M200" s="6">
        <v>7.0149000000000003E-2</v>
      </c>
      <c r="N200" s="6">
        <v>1.3779E-3</v>
      </c>
      <c r="O200" s="6" t="s">
        <v>17</v>
      </c>
    </row>
    <row r="201" spans="1:15" ht="17" x14ac:dyDescent="0.35">
      <c r="A201" s="14">
        <v>115.34</v>
      </c>
      <c r="B201" s="11">
        <v>19.725000000000001</v>
      </c>
      <c r="C201" s="6">
        <v>20.542000000000002</v>
      </c>
      <c r="D201" s="6">
        <v>4.8680000000000001E-2</v>
      </c>
      <c r="E201" s="6">
        <v>-1.0306999999999999</v>
      </c>
      <c r="F201" s="6">
        <v>-0.93467999999999996</v>
      </c>
      <c r="G201" s="6">
        <v>104.44</v>
      </c>
      <c r="H201" s="6">
        <v>27.324000000000002</v>
      </c>
      <c r="I201" s="6">
        <v>92.165999999999997</v>
      </c>
      <c r="J201" s="6">
        <v>397.34</v>
      </c>
      <c r="K201" s="6">
        <v>7.3327000000000003E-2</v>
      </c>
      <c r="L201" s="6">
        <v>46.706000000000003</v>
      </c>
      <c r="M201" s="6">
        <v>6.9962999999999997E-2</v>
      </c>
      <c r="N201" s="6">
        <v>1.3630000000000001E-3</v>
      </c>
      <c r="O201" s="6" t="s">
        <v>17</v>
      </c>
    </row>
    <row r="202" spans="1:15" ht="17" x14ac:dyDescent="0.35">
      <c r="A202" s="14">
        <v>115.43</v>
      </c>
      <c r="B202" s="11">
        <v>19.824999999999999</v>
      </c>
      <c r="C202" s="6">
        <v>20.509</v>
      </c>
      <c r="D202" s="6">
        <v>4.8758000000000003E-2</v>
      </c>
      <c r="E202" s="6">
        <v>-1.0233000000000001</v>
      </c>
      <c r="F202" s="6">
        <v>-0.92661000000000004</v>
      </c>
      <c r="G202" s="6">
        <v>104.5</v>
      </c>
      <c r="H202" s="6">
        <v>27.334</v>
      </c>
      <c r="I202" s="6">
        <v>92.570999999999998</v>
      </c>
      <c r="J202" s="6">
        <v>395.84</v>
      </c>
      <c r="K202" s="6">
        <v>7.4288999999999994E-2</v>
      </c>
      <c r="L202" s="6">
        <v>46.542000000000002</v>
      </c>
      <c r="M202" s="6">
        <v>6.9778000000000007E-2</v>
      </c>
      <c r="N202" s="6">
        <v>1.3481999999999999E-3</v>
      </c>
      <c r="O202" s="6" t="s">
        <v>17</v>
      </c>
    </row>
    <row r="203" spans="1:15" ht="17" x14ac:dyDescent="0.35">
      <c r="A203" s="14">
        <v>115.53</v>
      </c>
      <c r="B203" s="11">
        <v>19.925000000000001</v>
      </c>
      <c r="C203" s="6">
        <v>20.477</v>
      </c>
      <c r="D203" s="6">
        <v>4.8835999999999997E-2</v>
      </c>
      <c r="E203" s="6">
        <v>-1.0159</v>
      </c>
      <c r="F203" s="6">
        <v>-0.91854999999999998</v>
      </c>
      <c r="G203" s="6">
        <v>104.57</v>
      </c>
      <c r="H203" s="6">
        <v>27.344000000000001</v>
      </c>
      <c r="I203" s="6">
        <v>92.980999999999995</v>
      </c>
      <c r="J203" s="6">
        <v>394.35</v>
      </c>
      <c r="K203" s="6">
        <v>7.5259999999999994E-2</v>
      </c>
      <c r="L203" s="6">
        <v>46.378999999999998</v>
      </c>
      <c r="M203" s="6">
        <v>6.9594000000000003E-2</v>
      </c>
      <c r="N203" s="6">
        <v>1.3335E-3</v>
      </c>
      <c r="O203" s="6" t="s">
        <v>17</v>
      </c>
    </row>
    <row r="204" spans="1:15" ht="17" x14ac:dyDescent="0.35">
      <c r="A204" s="14">
        <v>115.62</v>
      </c>
      <c r="B204" s="11">
        <v>20.024999999999999</v>
      </c>
      <c r="C204" s="6">
        <v>20.443999999999999</v>
      </c>
      <c r="D204" s="6">
        <v>4.8915E-2</v>
      </c>
      <c r="E204" s="6">
        <v>-1.0084</v>
      </c>
      <c r="F204" s="6">
        <v>-0.91049000000000002</v>
      </c>
      <c r="G204" s="6">
        <v>104.63</v>
      </c>
      <c r="H204" s="6">
        <v>27.353999999999999</v>
      </c>
      <c r="I204" s="6">
        <v>93.397000000000006</v>
      </c>
      <c r="J204" s="6">
        <v>392.85</v>
      </c>
      <c r="K204" s="6">
        <v>7.6239000000000001E-2</v>
      </c>
      <c r="L204" s="6">
        <v>46.216999999999999</v>
      </c>
      <c r="M204" s="6">
        <v>6.9409999999999999E-2</v>
      </c>
      <c r="N204" s="6">
        <v>1.3189E-3</v>
      </c>
      <c r="O204" s="6" t="s">
        <v>17</v>
      </c>
    </row>
    <row r="205" spans="1:15" ht="17" x14ac:dyDescent="0.35">
      <c r="A205" s="14">
        <v>115.72</v>
      </c>
      <c r="B205" s="11">
        <v>20.125</v>
      </c>
      <c r="C205" s="6">
        <v>20.411000000000001</v>
      </c>
      <c r="D205" s="6">
        <v>4.8994000000000003E-2</v>
      </c>
      <c r="E205" s="6">
        <v>-1.0009999999999999</v>
      </c>
      <c r="F205" s="6">
        <v>-0.90242999999999995</v>
      </c>
      <c r="G205" s="6">
        <v>104.7</v>
      </c>
      <c r="H205" s="6">
        <v>27.364999999999998</v>
      </c>
      <c r="I205" s="6">
        <v>93.819000000000003</v>
      </c>
      <c r="J205" s="6">
        <v>391.35</v>
      </c>
      <c r="K205" s="6">
        <v>7.7227000000000004E-2</v>
      </c>
      <c r="L205" s="6">
        <v>46.055</v>
      </c>
      <c r="M205" s="6">
        <v>6.9226999999999997E-2</v>
      </c>
      <c r="N205" s="6">
        <v>1.3043E-3</v>
      </c>
      <c r="O205" s="6" t="s">
        <v>17</v>
      </c>
    </row>
    <row r="206" spans="1:15" ht="17" x14ac:dyDescent="0.35">
      <c r="A206" s="14">
        <v>115.81</v>
      </c>
      <c r="B206" s="11">
        <v>20.225000000000001</v>
      </c>
      <c r="C206" s="6">
        <v>20.378</v>
      </c>
      <c r="D206" s="6">
        <v>4.9072999999999999E-2</v>
      </c>
      <c r="E206" s="6">
        <v>-0.99363999999999997</v>
      </c>
      <c r="F206" s="6">
        <v>-0.89439000000000002</v>
      </c>
      <c r="G206" s="6">
        <v>104.77</v>
      </c>
      <c r="H206" s="6">
        <v>27.376000000000001</v>
      </c>
      <c r="I206" s="6">
        <v>94.247</v>
      </c>
      <c r="J206" s="6">
        <v>389.86</v>
      </c>
      <c r="K206" s="6">
        <v>7.8222E-2</v>
      </c>
      <c r="L206" s="6">
        <v>45.893000000000001</v>
      </c>
      <c r="M206" s="6">
        <v>6.9044999999999995E-2</v>
      </c>
      <c r="N206" s="6">
        <v>1.2898E-3</v>
      </c>
      <c r="O206" s="6" t="s">
        <v>17</v>
      </c>
    </row>
    <row r="207" spans="1:15" ht="17" x14ac:dyDescent="0.35">
      <c r="A207" s="14">
        <v>115.9</v>
      </c>
      <c r="B207" s="11">
        <v>20.324999999999999</v>
      </c>
      <c r="C207" s="6">
        <v>20.344999999999999</v>
      </c>
      <c r="D207" s="6">
        <v>4.9152000000000001E-2</v>
      </c>
      <c r="E207" s="6">
        <v>-0.98624000000000001</v>
      </c>
      <c r="F207" s="6">
        <v>-0.88634000000000002</v>
      </c>
      <c r="G207" s="6">
        <v>104.83</v>
      </c>
      <c r="H207" s="6">
        <v>27.388000000000002</v>
      </c>
      <c r="I207" s="6">
        <v>94.68</v>
      </c>
      <c r="J207" s="6">
        <v>388.37</v>
      </c>
      <c r="K207" s="6">
        <v>7.9227000000000006E-2</v>
      </c>
      <c r="L207" s="6">
        <v>45.732999999999997</v>
      </c>
      <c r="M207" s="6">
        <v>6.8863999999999995E-2</v>
      </c>
      <c r="N207" s="6">
        <v>1.2754999999999999E-3</v>
      </c>
      <c r="O207" s="6" t="s">
        <v>17</v>
      </c>
    </row>
    <row r="208" spans="1:15" ht="17" x14ac:dyDescent="0.35">
      <c r="A208" s="14">
        <v>115.99</v>
      </c>
      <c r="B208" s="11">
        <v>20.425000000000001</v>
      </c>
      <c r="C208" s="6">
        <v>20.312000000000001</v>
      </c>
      <c r="D208" s="6">
        <v>4.9231999999999998E-2</v>
      </c>
      <c r="E208" s="6">
        <v>-0.97885999999999995</v>
      </c>
      <c r="F208" s="6">
        <v>-0.87829999999999997</v>
      </c>
      <c r="G208" s="6">
        <v>104.9</v>
      </c>
      <c r="H208" s="6">
        <v>27.399000000000001</v>
      </c>
      <c r="I208" s="6">
        <v>95.12</v>
      </c>
      <c r="J208" s="6">
        <v>386.88</v>
      </c>
      <c r="K208" s="6">
        <v>8.0240000000000006E-2</v>
      </c>
      <c r="L208" s="6">
        <v>45.572000000000003</v>
      </c>
      <c r="M208" s="6">
        <v>6.8682999999999994E-2</v>
      </c>
      <c r="N208" s="6">
        <v>1.2612000000000001E-3</v>
      </c>
      <c r="O208" s="6" t="s">
        <v>17</v>
      </c>
    </row>
    <row r="209" spans="1:15" ht="17" x14ac:dyDescent="0.35">
      <c r="A209" s="14">
        <v>116.09</v>
      </c>
      <c r="B209" s="11">
        <v>20.524999999999999</v>
      </c>
      <c r="C209" s="6">
        <v>20.279</v>
      </c>
      <c r="D209" s="6">
        <v>4.9313000000000003E-2</v>
      </c>
      <c r="E209" s="6">
        <v>-0.97148000000000001</v>
      </c>
      <c r="F209" s="6">
        <v>-0.87026999999999999</v>
      </c>
      <c r="G209" s="6">
        <v>104.96</v>
      </c>
      <c r="H209" s="6">
        <v>27.411000000000001</v>
      </c>
      <c r="I209" s="6">
        <v>95.566000000000003</v>
      </c>
      <c r="J209" s="6">
        <v>385.39</v>
      </c>
      <c r="K209" s="6">
        <v>8.1261E-2</v>
      </c>
      <c r="L209" s="6">
        <v>45.411999999999999</v>
      </c>
      <c r="M209" s="6">
        <v>6.8502999999999994E-2</v>
      </c>
      <c r="N209" s="6">
        <v>1.2469E-3</v>
      </c>
      <c r="O209" s="6" t="s">
        <v>17</v>
      </c>
    </row>
    <row r="210" spans="1:15" ht="17" x14ac:dyDescent="0.35">
      <c r="A210" s="14">
        <v>116.18</v>
      </c>
      <c r="B210" s="11">
        <v>20.625</v>
      </c>
      <c r="C210" s="6">
        <v>20.245999999999999</v>
      </c>
      <c r="D210" s="6">
        <v>4.9392999999999999E-2</v>
      </c>
      <c r="E210" s="6">
        <v>-0.96411000000000002</v>
      </c>
      <c r="F210" s="6">
        <v>-0.86223000000000005</v>
      </c>
      <c r="G210" s="6">
        <v>105.03</v>
      </c>
      <c r="H210" s="6">
        <v>27.422999999999998</v>
      </c>
      <c r="I210" s="6">
        <v>96.018000000000001</v>
      </c>
      <c r="J210" s="6">
        <v>383.9</v>
      </c>
      <c r="K210" s="6">
        <v>8.2292000000000004E-2</v>
      </c>
      <c r="L210" s="6">
        <v>45.253</v>
      </c>
      <c r="M210" s="6">
        <v>6.8323999999999996E-2</v>
      </c>
      <c r="N210" s="6">
        <v>1.2328E-3</v>
      </c>
      <c r="O210" s="6" t="s">
        <v>17</v>
      </c>
    </row>
    <row r="211" spans="1:15" ht="17" x14ac:dyDescent="0.35">
      <c r="A211" s="14">
        <v>116.27</v>
      </c>
      <c r="B211" s="11">
        <v>20.725000000000001</v>
      </c>
      <c r="C211" s="6">
        <v>20.213000000000001</v>
      </c>
      <c r="D211" s="6">
        <v>4.9473999999999997E-2</v>
      </c>
      <c r="E211" s="6">
        <v>-0.95674000000000003</v>
      </c>
      <c r="F211" s="6">
        <v>-0.85419999999999996</v>
      </c>
      <c r="G211" s="6">
        <v>105.09</v>
      </c>
      <c r="H211" s="6">
        <v>27.434999999999999</v>
      </c>
      <c r="I211" s="6">
        <v>96.475999999999999</v>
      </c>
      <c r="J211" s="6">
        <v>382.41</v>
      </c>
      <c r="K211" s="6">
        <v>8.3332000000000003E-2</v>
      </c>
      <c r="L211" s="6">
        <v>45.094000000000001</v>
      </c>
      <c r="M211" s="6">
        <v>6.8144999999999997E-2</v>
      </c>
      <c r="N211" s="6">
        <v>1.2187999999999999E-3</v>
      </c>
      <c r="O211" s="6" t="s">
        <v>17</v>
      </c>
    </row>
    <row r="212" spans="1:15" ht="17" x14ac:dyDescent="0.35">
      <c r="A212" s="14">
        <v>116.36</v>
      </c>
      <c r="B212" s="11">
        <v>20.824999999999999</v>
      </c>
      <c r="C212" s="6">
        <v>20.178999999999998</v>
      </c>
      <c r="D212" s="6">
        <v>4.9556000000000003E-2</v>
      </c>
      <c r="E212" s="6">
        <v>-0.94938</v>
      </c>
      <c r="F212" s="6">
        <v>-0.84618000000000004</v>
      </c>
      <c r="G212" s="6">
        <v>105.16</v>
      </c>
      <c r="H212" s="6">
        <v>27.448</v>
      </c>
      <c r="I212" s="6">
        <v>96.941999999999993</v>
      </c>
      <c r="J212" s="6">
        <v>380.93</v>
      </c>
      <c r="K212" s="6">
        <v>8.4379999999999997E-2</v>
      </c>
      <c r="L212" s="6">
        <v>44.935000000000002</v>
      </c>
      <c r="M212" s="6">
        <v>6.7967E-2</v>
      </c>
      <c r="N212" s="6">
        <v>1.2048E-3</v>
      </c>
      <c r="O212" s="6" t="s">
        <v>17</v>
      </c>
    </row>
    <row r="213" spans="1:15" ht="17" x14ac:dyDescent="0.35">
      <c r="A213" s="14">
        <v>116.45</v>
      </c>
      <c r="B213" s="11">
        <v>20.925000000000001</v>
      </c>
      <c r="C213" s="6">
        <v>20.146000000000001</v>
      </c>
      <c r="D213" s="6">
        <v>4.9637000000000001E-2</v>
      </c>
      <c r="E213" s="6">
        <v>-0.94201999999999997</v>
      </c>
      <c r="F213" s="6">
        <v>-0.83816000000000002</v>
      </c>
      <c r="G213" s="6">
        <v>105.22</v>
      </c>
      <c r="H213" s="6">
        <v>27.460999999999999</v>
      </c>
      <c r="I213" s="6">
        <v>97.414000000000001</v>
      </c>
      <c r="J213" s="6">
        <v>379.44</v>
      </c>
      <c r="K213" s="6">
        <v>8.5438E-2</v>
      </c>
      <c r="L213" s="6">
        <v>44.777000000000001</v>
      </c>
      <c r="M213" s="6">
        <v>6.7790000000000003E-2</v>
      </c>
      <c r="N213" s="6">
        <v>1.1908999999999999E-3</v>
      </c>
      <c r="O213" s="6" t="s">
        <v>17</v>
      </c>
    </row>
    <row r="214" spans="1:15" ht="17" x14ac:dyDescent="0.35">
      <c r="A214" s="14">
        <v>116.54</v>
      </c>
      <c r="B214" s="11">
        <v>21.024999999999999</v>
      </c>
      <c r="C214" s="6">
        <v>20.113</v>
      </c>
      <c r="D214" s="6">
        <v>4.972E-2</v>
      </c>
      <c r="E214" s="6">
        <v>-0.93467</v>
      </c>
      <c r="F214" s="6">
        <v>-0.83013000000000003</v>
      </c>
      <c r="G214" s="6">
        <v>105.28</v>
      </c>
      <c r="H214" s="6">
        <v>27.474</v>
      </c>
      <c r="I214" s="6">
        <v>97.893000000000001</v>
      </c>
      <c r="J214" s="6">
        <v>377.96</v>
      </c>
      <c r="K214" s="6">
        <v>8.6506E-2</v>
      </c>
      <c r="L214" s="6">
        <v>44.619</v>
      </c>
      <c r="M214" s="6">
        <v>6.7613000000000006E-2</v>
      </c>
      <c r="N214" s="6">
        <v>1.1770999999999999E-3</v>
      </c>
      <c r="O214" s="6" t="s">
        <v>17</v>
      </c>
    </row>
    <row r="215" spans="1:15" ht="17" x14ac:dyDescent="0.35">
      <c r="A215" s="14">
        <v>116.63</v>
      </c>
      <c r="B215" s="11">
        <v>21.125</v>
      </c>
      <c r="C215" s="6">
        <v>20.079000000000001</v>
      </c>
      <c r="D215" s="6">
        <v>4.9801999999999999E-2</v>
      </c>
      <c r="E215" s="6">
        <v>-0.92732000000000003</v>
      </c>
      <c r="F215" s="6">
        <v>-0.82211999999999996</v>
      </c>
      <c r="G215" s="6">
        <v>105.35</v>
      </c>
      <c r="H215" s="6">
        <v>27.486999999999998</v>
      </c>
      <c r="I215" s="6">
        <v>98.379000000000005</v>
      </c>
      <c r="J215" s="6">
        <v>376.47</v>
      </c>
      <c r="K215" s="6">
        <v>8.7582999999999994E-2</v>
      </c>
      <c r="L215" s="6">
        <v>44.462000000000003</v>
      </c>
      <c r="M215" s="6">
        <v>6.7437999999999998E-2</v>
      </c>
      <c r="N215" s="6">
        <v>1.1634E-3</v>
      </c>
      <c r="O215" s="6" t="s">
        <v>17</v>
      </c>
    </row>
    <row r="216" spans="1:15" ht="17" x14ac:dyDescent="0.35">
      <c r="A216" s="14">
        <v>116.72</v>
      </c>
      <c r="B216" s="11">
        <v>21.225000000000001</v>
      </c>
      <c r="C216" s="6">
        <v>20.045999999999999</v>
      </c>
      <c r="D216" s="6">
        <v>4.9884999999999999E-2</v>
      </c>
      <c r="E216" s="6">
        <v>-0.91998000000000002</v>
      </c>
      <c r="F216" s="6">
        <v>-0.81410000000000005</v>
      </c>
      <c r="G216" s="6">
        <v>105.41</v>
      </c>
      <c r="H216" s="6">
        <v>27.501000000000001</v>
      </c>
      <c r="I216" s="6">
        <v>98.873000000000005</v>
      </c>
      <c r="J216" s="6">
        <v>374.99</v>
      </c>
      <c r="K216" s="6">
        <v>8.8669999999999999E-2</v>
      </c>
      <c r="L216" s="6">
        <v>44.305</v>
      </c>
      <c r="M216" s="6">
        <v>6.7263000000000003E-2</v>
      </c>
      <c r="N216" s="6">
        <v>1.1497E-3</v>
      </c>
      <c r="O216" s="6" t="s">
        <v>17</v>
      </c>
    </row>
    <row r="217" spans="1:15" ht="17" x14ac:dyDescent="0.35">
      <c r="A217" s="14">
        <v>116.81</v>
      </c>
      <c r="B217" s="11">
        <v>21.324999999999999</v>
      </c>
      <c r="C217" s="6">
        <v>20.012</v>
      </c>
      <c r="D217" s="6">
        <v>4.9969E-2</v>
      </c>
      <c r="E217" s="6">
        <v>-0.91264000000000001</v>
      </c>
      <c r="F217" s="6">
        <v>-0.80608000000000002</v>
      </c>
      <c r="G217" s="6">
        <v>105.48</v>
      </c>
      <c r="H217" s="6">
        <v>27.515000000000001</v>
      </c>
      <c r="I217" s="6">
        <v>99.373999999999995</v>
      </c>
      <c r="J217" s="6">
        <v>373.51</v>
      </c>
      <c r="K217" s="6">
        <v>8.9767E-2</v>
      </c>
      <c r="L217" s="6">
        <v>44.148000000000003</v>
      </c>
      <c r="M217" s="6">
        <v>6.7087999999999995E-2</v>
      </c>
      <c r="N217" s="6">
        <v>1.1360999999999999E-3</v>
      </c>
      <c r="O217" s="6" t="s">
        <v>17</v>
      </c>
    </row>
    <row r="218" spans="1:15" ht="17" x14ac:dyDescent="0.35">
      <c r="A218" s="14">
        <v>116.9</v>
      </c>
      <c r="B218" s="11">
        <v>21.425000000000001</v>
      </c>
      <c r="C218" s="6">
        <v>19.978999999999999</v>
      </c>
      <c r="D218" s="6">
        <v>5.0053E-2</v>
      </c>
      <c r="E218" s="6">
        <v>-0.90530999999999995</v>
      </c>
      <c r="F218" s="6">
        <v>-0.79806999999999995</v>
      </c>
      <c r="G218" s="6">
        <v>105.54</v>
      </c>
      <c r="H218" s="6">
        <v>27.529</v>
      </c>
      <c r="I218" s="6">
        <v>99.882000000000005</v>
      </c>
      <c r="J218" s="6">
        <v>372.03</v>
      </c>
      <c r="K218" s="6">
        <v>9.0873999999999996E-2</v>
      </c>
      <c r="L218" s="6">
        <v>43.991999999999997</v>
      </c>
      <c r="M218" s="6">
        <v>6.6914000000000001E-2</v>
      </c>
      <c r="N218" s="6">
        <v>1.1226000000000001E-3</v>
      </c>
      <c r="O218" s="6" t="s">
        <v>17</v>
      </c>
    </row>
    <row r="219" spans="1:15" ht="17" x14ac:dyDescent="0.35">
      <c r="A219" s="14">
        <v>116.99</v>
      </c>
      <c r="B219" s="11">
        <v>21.524999999999999</v>
      </c>
      <c r="C219" s="6">
        <v>19.945</v>
      </c>
      <c r="D219" s="6">
        <v>5.0137000000000001E-2</v>
      </c>
      <c r="E219" s="6">
        <v>-0.89798</v>
      </c>
      <c r="F219" s="6">
        <v>-0.79005000000000003</v>
      </c>
      <c r="G219" s="6">
        <v>105.61</v>
      </c>
      <c r="H219" s="6">
        <v>27.544</v>
      </c>
      <c r="I219" s="6">
        <v>100.4</v>
      </c>
      <c r="J219" s="6">
        <v>370.55</v>
      </c>
      <c r="K219" s="6">
        <v>9.1991000000000003E-2</v>
      </c>
      <c r="L219" s="6">
        <v>43.835999999999999</v>
      </c>
      <c r="M219" s="6">
        <v>6.6740999999999995E-2</v>
      </c>
      <c r="N219" s="6">
        <v>1.1092000000000001E-3</v>
      </c>
      <c r="O219" s="6" t="s">
        <v>17</v>
      </c>
    </row>
    <row r="220" spans="1:15" ht="17" x14ac:dyDescent="0.35">
      <c r="A220" s="14">
        <v>117.08</v>
      </c>
      <c r="B220" s="11">
        <v>21.625</v>
      </c>
      <c r="C220" s="6">
        <v>19.911999999999999</v>
      </c>
      <c r="D220" s="6">
        <v>5.0222000000000003E-2</v>
      </c>
      <c r="E220" s="6">
        <v>-0.89065000000000005</v>
      </c>
      <c r="F220" s="6">
        <v>-0.78203999999999996</v>
      </c>
      <c r="G220" s="6">
        <v>105.67</v>
      </c>
      <c r="H220" s="6">
        <v>27.558</v>
      </c>
      <c r="I220" s="6">
        <v>100.92</v>
      </c>
      <c r="J220" s="6">
        <v>369.07</v>
      </c>
      <c r="K220" s="6">
        <v>9.3118000000000006E-2</v>
      </c>
      <c r="L220" s="6">
        <v>43.680999999999997</v>
      </c>
      <c r="M220" s="6">
        <v>6.6569000000000003E-2</v>
      </c>
      <c r="N220" s="6">
        <v>1.0958999999999999E-3</v>
      </c>
      <c r="O220" s="6" t="s">
        <v>17</v>
      </c>
    </row>
    <row r="221" spans="1:15" ht="17" x14ac:dyDescent="0.35">
      <c r="A221" s="14">
        <v>117.17</v>
      </c>
      <c r="B221" s="11">
        <v>21.725000000000001</v>
      </c>
      <c r="C221" s="6">
        <v>19.878</v>
      </c>
      <c r="D221" s="6">
        <v>5.0306999999999998E-2</v>
      </c>
      <c r="E221" s="6">
        <v>-0.88331999999999999</v>
      </c>
      <c r="F221" s="6">
        <v>-0.77403</v>
      </c>
      <c r="G221" s="6">
        <v>105.73</v>
      </c>
      <c r="H221" s="6">
        <v>27.574000000000002</v>
      </c>
      <c r="I221" s="6">
        <v>101.46</v>
      </c>
      <c r="J221" s="6">
        <v>367.59</v>
      </c>
      <c r="K221" s="6">
        <v>9.4256000000000006E-2</v>
      </c>
      <c r="L221" s="6">
        <v>43.526000000000003</v>
      </c>
      <c r="M221" s="6">
        <v>6.6396999999999998E-2</v>
      </c>
      <c r="N221" s="6">
        <v>1.0826E-3</v>
      </c>
      <c r="O221" s="6" t="s">
        <v>17</v>
      </c>
    </row>
    <row r="222" spans="1:15" ht="17" x14ac:dyDescent="0.35">
      <c r="A222" s="14">
        <v>117.26</v>
      </c>
      <c r="B222" s="11">
        <v>21.824999999999999</v>
      </c>
      <c r="C222" s="6">
        <v>19.844000000000001</v>
      </c>
      <c r="D222" s="6">
        <v>5.0393E-2</v>
      </c>
      <c r="E222" s="6">
        <v>-0.876</v>
      </c>
      <c r="F222" s="6">
        <v>-0.76600999999999997</v>
      </c>
      <c r="G222" s="6">
        <v>105.8</v>
      </c>
      <c r="H222" s="6">
        <v>27.588999999999999</v>
      </c>
      <c r="I222" s="6">
        <v>102</v>
      </c>
      <c r="J222" s="6">
        <v>366.11</v>
      </c>
      <c r="K222" s="6">
        <v>9.5404000000000003E-2</v>
      </c>
      <c r="L222" s="6">
        <v>43.371000000000002</v>
      </c>
      <c r="M222" s="6">
        <v>6.6225999999999993E-2</v>
      </c>
      <c r="N222" s="6">
        <v>1.0694999999999999E-3</v>
      </c>
      <c r="O222" s="6" t="s">
        <v>17</v>
      </c>
    </row>
    <row r="223" spans="1:15" ht="17" x14ac:dyDescent="0.35">
      <c r="A223" s="14">
        <v>117.35</v>
      </c>
      <c r="B223" s="11">
        <v>21.925000000000001</v>
      </c>
      <c r="C223" s="6">
        <v>19.809999999999999</v>
      </c>
      <c r="D223" s="6">
        <v>5.0479000000000003E-2</v>
      </c>
      <c r="E223" s="6">
        <v>-0.86868000000000001</v>
      </c>
      <c r="F223" s="6">
        <v>-0.75800000000000001</v>
      </c>
      <c r="G223" s="6">
        <v>105.86</v>
      </c>
      <c r="H223" s="6">
        <v>27.605</v>
      </c>
      <c r="I223" s="6">
        <v>102.55</v>
      </c>
      <c r="J223" s="6">
        <v>364.63</v>
      </c>
      <c r="K223" s="6">
        <v>9.6563999999999997E-2</v>
      </c>
      <c r="L223" s="6">
        <v>43.216999999999999</v>
      </c>
      <c r="M223" s="6">
        <v>6.6056000000000004E-2</v>
      </c>
      <c r="N223" s="6">
        <v>1.0564000000000001E-3</v>
      </c>
      <c r="O223" s="6" t="s">
        <v>17</v>
      </c>
    </row>
    <row r="224" spans="1:15" ht="17" x14ac:dyDescent="0.35">
      <c r="A224" s="14">
        <v>117.43</v>
      </c>
      <c r="B224" s="11">
        <v>22.024999999999999</v>
      </c>
      <c r="C224" s="6">
        <v>19.776</v>
      </c>
      <c r="D224" s="6">
        <v>5.0566E-2</v>
      </c>
      <c r="E224" s="6">
        <v>-0.86136000000000001</v>
      </c>
      <c r="F224" s="6">
        <v>-0.74997999999999998</v>
      </c>
      <c r="G224" s="6">
        <v>105.93</v>
      </c>
      <c r="H224" s="6">
        <v>27.620999999999999</v>
      </c>
      <c r="I224" s="6">
        <v>103.11</v>
      </c>
      <c r="J224" s="6">
        <v>363.15</v>
      </c>
      <c r="K224" s="6">
        <v>9.7734000000000001E-2</v>
      </c>
      <c r="L224" s="6">
        <v>43.063000000000002</v>
      </c>
      <c r="M224" s="6">
        <v>6.5886E-2</v>
      </c>
      <c r="N224" s="6">
        <v>1.0433E-3</v>
      </c>
      <c r="O224" s="6" t="s">
        <v>17</v>
      </c>
    </row>
    <row r="225" spans="1:15" ht="17" x14ac:dyDescent="0.35">
      <c r="A225" s="14">
        <v>117.52</v>
      </c>
      <c r="B225" s="11">
        <v>22.125</v>
      </c>
      <c r="C225" s="6">
        <v>19.742000000000001</v>
      </c>
      <c r="D225" s="6">
        <v>5.0652999999999997E-2</v>
      </c>
      <c r="E225" s="6">
        <v>-0.85404000000000002</v>
      </c>
      <c r="F225" s="6">
        <v>-0.74197000000000002</v>
      </c>
      <c r="G225" s="6">
        <v>105.99</v>
      </c>
      <c r="H225" s="6">
        <v>27.637</v>
      </c>
      <c r="I225" s="6">
        <v>103.67</v>
      </c>
      <c r="J225" s="6">
        <v>361.67</v>
      </c>
      <c r="K225" s="6">
        <v>9.8916000000000004E-2</v>
      </c>
      <c r="L225" s="6">
        <v>42.908999999999999</v>
      </c>
      <c r="M225" s="6">
        <v>6.5716999999999998E-2</v>
      </c>
      <c r="N225" s="6">
        <v>1.0303999999999999E-3</v>
      </c>
      <c r="O225" s="6" t="s">
        <v>17</v>
      </c>
    </row>
    <row r="226" spans="1:15" ht="17" x14ac:dyDescent="0.35">
      <c r="A226" s="14">
        <v>117.61</v>
      </c>
      <c r="B226" s="11">
        <v>22.225000000000001</v>
      </c>
      <c r="C226" s="6">
        <v>19.707999999999998</v>
      </c>
      <c r="D226" s="6">
        <v>5.0741000000000001E-2</v>
      </c>
      <c r="E226" s="6">
        <v>-0.84672000000000003</v>
      </c>
      <c r="F226" s="6">
        <v>-0.73394999999999999</v>
      </c>
      <c r="G226" s="6">
        <v>106.05</v>
      </c>
      <c r="H226" s="6">
        <v>27.654</v>
      </c>
      <c r="I226" s="6">
        <v>104.25</v>
      </c>
      <c r="J226" s="6">
        <v>360.19</v>
      </c>
      <c r="K226" s="6">
        <v>0.10011</v>
      </c>
      <c r="L226" s="6">
        <v>42.756</v>
      </c>
      <c r="M226" s="6">
        <v>6.5548999999999996E-2</v>
      </c>
      <c r="N226" s="6">
        <v>1.0175E-3</v>
      </c>
      <c r="O226" s="6" t="s">
        <v>17</v>
      </c>
    </row>
    <row r="227" spans="1:15" ht="17" x14ac:dyDescent="0.35">
      <c r="A227" s="14">
        <v>117.7</v>
      </c>
      <c r="B227" s="11">
        <v>22.324999999999999</v>
      </c>
      <c r="C227" s="6">
        <v>19.673999999999999</v>
      </c>
      <c r="D227" s="6">
        <v>5.0828999999999999E-2</v>
      </c>
      <c r="E227" s="6">
        <v>-0.83940999999999999</v>
      </c>
      <c r="F227" s="6">
        <v>-0.72592999999999996</v>
      </c>
      <c r="G227" s="6">
        <v>106.12</v>
      </c>
      <c r="H227" s="6">
        <v>27.670999999999999</v>
      </c>
      <c r="I227" s="6">
        <v>104.84</v>
      </c>
      <c r="J227" s="6">
        <v>358.71</v>
      </c>
      <c r="K227" s="6">
        <v>0.10131</v>
      </c>
      <c r="L227" s="6">
        <v>42.603000000000002</v>
      </c>
      <c r="M227" s="6">
        <v>6.5381999999999996E-2</v>
      </c>
      <c r="N227" s="6">
        <v>1.0047000000000001E-3</v>
      </c>
      <c r="O227" s="6" t="s">
        <v>17</v>
      </c>
    </row>
    <row r="228" spans="1:15" ht="17" x14ac:dyDescent="0.35">
      <c r="A228" s="14">
        <v>117.78</v>
      </c>
      <c r="B228" s="11">
        <v>22.425000000000001</v>
      </c>
      <c r="C228" s="6">
        <v>19.638999999999999</v>
      </c>
      <c r="D228" s="6">
        <v>5.0917999999999998E-2</v>
      </c>
      <c r="E228" s="6">
        <v>-0.83209</v>
      </c>
      <c r="F228" s="6">
        <v>-0.71791000000000005</v>
      </c>
      <c r="G228" s="6">
        <v>106.18</v>
      </c>
      <c r="H228" s="6">
        <v>27.687999999999999</v>
      </c>
      <c r="I228" s="6">
        <v>105.43</v>
      </c>
      <c r="J228" s="6">
        <v>357.23</v>
      </c>
      <c r="K228" s="6">
        <v>0.10253</v>
      </c>
      <c r="L228" s="6">
        <v>42.45</v>
      </c>
      <c r="M228" s="6">
        <v>6.5214999999999995E-2</v>
      </c>
      <c r="N228" s="6">
        <v>9.9196000000000006E-4</v>
      </c>
      <c r="O228" s="6" t="s">
        <v>17</v>
      </c>
    </row>
    <row r="229" spans="1:15" ht="17" x14ac:dyDescent="0.35">
      <c r="A229" s="14">
        <v>117.87</v>
      </c>
      <c r="B229" s="11">
        <v>22.524999999999999</v>
      </c>
      <c r="C229" s="6">
        <v>19.605</v>
      </c>
      <c r="D229" s="6">
        <v>5.1006999999999997E-2</v>
      </c>
      <c r="E229" s="6">
        <v>-0.82477999999999996</v>
      </c>
      <c r="F229" s="6">
        <v>-0.70987999999999996</v>
      </c>
      <c r="G229" s="6">
        <v>106.25</v>
      </c>
      <c r="H229" s="6">
        <v>27.706</v>
      </c>
      <c r="I229" s="6">
        <v>106.04</v>
      </c>
      <c r="J229" s="6">
        <v>355.76</v>
      </c>
      <c r="K229" s="6">
        <v>0.10376000000000001</v>
      </c>
      <c r="L229" s="6">
        <v>42.296999999999997</v>
      </c>
      <c r="M229" s="6">
        <v>6.5048999999999996E-2</v>
      </c>
      <c r="N229" s="6">
        <v>9.7930000000000001E-4</v>
      </c>
      <c r="O229" s="6" t="s">
        <v>17</v>
      </c>
    </row>
    <row r="230" spans="1:15" ht="17" x14ac:dyDescent="0.35">
      <c r="A230" s="14">
        <v>117.95</v>
      </c>
      <c r="B230" s="11">
        <v>22.625</v>
      </c>
      <c r="C230" s="6">
        <v>19.571000000000002</v>
      </c>
      <c r="D230" s="6">
        <v>5.1096999999999997E-2</v>
      </c>
      <c r="E230" s="6">
        <v>-0.81745999999999996</v>
      </c>
      <c r="F230" s="6">
        <v>-0.70186000000000004</v>
      </c>
      <c r="G230" s="6">
        <v>106.31</v>
      </c>
      <c r="H230" s="6">
        <v>27.724</v>
      </c>
      <c r="I230" s="6">
        <v>106.66</v>
      </c>
      <c r="J230" s="6">
        <v>354.28</v>
      </c>
      <c r="K230" s="6">
        <v>0.105</v>
      </c>
      <c r="L230" s="6">
        <v>42.145000000000003</v>
      </c>
      <c r="M230" s="6">
        <v>6.4882999999999996E-2</v>
      </c>
      <c r="N230" s="6">
        <v>9.6672000000000001E-4</v>
      </c>
      <c r="O230" s="6" t="s">
        <v>17</v>
      </c>
    </row>
    <row r="231" spans="1:15" ht="17" x14ac:dyDescent="0.35">
      <c r="A231" s="14">
        <v>118.04</v>
      </c>
      <c r="B231" s="11">
        <v>22.725000000000001</v>
      </c>
      <c r="C231" s="6">
        <v>19.536000000000001</v>
      </c>
      <c r="D231" s="6">
        <v>5.1187000000000003E-2</v>
      </c>
      <c r="E231" s="6">
        <v>-0.81015000000000004</v>
      </c>
      <c r="F231" s="6">
        <v>-0.69381999999999999</v>
      </c>
      <c r="G231" s="6">
        <v>106.37</v>
      </c>
      <c r="H231" s="6">
        <v>27.742999999999999</v>
      </c>
      <c r="I231" s="6">
        <v>107.28</v>
      </c>
      <c r="J231" s="6">
        <v>352.8</v>
      </c>
      <c r="K231" s="6">
        <v>0.10625</v>
      </c>
      <c r="L231" s="6">
        <v>41.993000000000002</v>
      </c>
      <c r="M231" s="6">
        <v>6.4717999999999998E-2</v>
      </c>
      <c r="N231" s="6">
        <v>9.5421999999999998E-4</v>
      </c>
      <c r="O231" s="6" t="s">
        <v>17</v>
      </c>
    </row>
    <row r="232" spans="1:15" ht="17" x14ac:dyDescent="0.35">
      <c r="A232" s="14">
        <v>118.13</v>
      </c>
      <c r="B232" s="11">
        <v>22.824999999999999</v>
      </c>
      <c r="C232" s="6">
        <v>19.501999999999999</v>
      </c>
      <c r="D232" s="6">
        <v>5.1277999999999997E-2</v>
      </c>
      <c r="E232" s="6">
        <v>-0.80283000000000004</v>
      </c>
      <c r="F232" s="6">
        <v>-0.68579000000000001</v>
      </c>
      <c r="G232" s="6">
        <v>106.44</v>
      </c>
      <c r="H232" s="6">
        <v>27.760999999999999</v>
      </c>
      <c r="I232" s="6">
        <v>107.92</v>
      </c>
      <c r="J232" s="6">
        <v>351.32</v>
      </c>
      <c r="K232" s="6">
        <v>0.10752</v>
      </c>
      <c r="L232" s="6">
        <v>41.841000000000001</v>
      </c>
      <c r="M232" s="6">
        <v>6.4554E-2</v>
      </c>
      <c r="N232" s="6">
        <v>9.4178000000000003E-4</v>
      </c>
      <c r="O232" s="6" t="s">
        <v>17</v>
      </c>
    </row>
    <row r="233" spans="1:15" ht="17" x14ac:dyDescent="0.35">
      <c r="A233" s="14">
        <v>118.21</v>
      </c>
      <c r="B233" s="11">
        <v>22.925000000000001</v>
      </c>
      <c r="C233" s="6">
        <v>19.466999999999999</v>
      </c>
      <c r="D233" s="6">
        <v>5.1368999999999998E-2</v>
      </c>
      <c r="E233" s="6">
        <v>-0.79551000000000005</v>
      </c>
      <c r="F233" s="6">
        <v>-0.67774999999999996</v>
      </c>
      <c r="G233" s="6">
        <v>106.5</v>
      </c>
      <c r="H233" s="6">
        <v>27.780999999999999</v>
      </c>
      <c r="I233" s="6">
        <v>108.57</v>
      </c>
      <c r="J233" s="6">
        <v>349.84</v>
      </c>
      <c r="K233" s="6">
        <v>0.10879999999999999</v>
      </c>
      <c r="L233" s="6">
        <v>41.69</v>
      </c>
      <c r="M233" s="6">
        <v>6.4391000000000004E-2</v>
      </c>
      <c r="N233" s="6">
        <v>9.2942000000000003E-4</v>
      </c>
      <c r="O233" s="6" t="s">
        <v>17</v>
      </c>
    </row>
    <row r="234" spans="1:15" ht="17" x14ac:dyDescent="0.35">
      <c r="A234" s="14">
        <v>118.3</v>
      </c>
      <c r="B234" s="11">
        <v>23.024999999999999</v>
      </c>
      <c r="C234" s="6">
        <v>19.431999999999999</v>
      </c>
      <c r="D234" s="6">
        <v>5.1461E-2</v>
      </c>
      <c r="E234" s="6">
        <v>-0.78820000000000001</v>
      </c>
      <c r="F234" s="6">
        <v>-0.66971000000000003</v>
      </c>
      <c r="G234" s="6">
        <v>106.56</v>
      </c>
      <c r="H234" s="6">
        <v>27.8</v>
      </c>
      <c r="I234" s="6">
        <v>109.23</v>
      </c>
      <c r="J234" s="6">
        <v>348.36</v>
      </c>
      <c r="K234" s="6">
        <v>0.11008999999999999</v>
      </c>
      <c r="L234" s="6">
        <v>41.537999999999997</v>
      </c>
      <c r="M234" s="6">
        <v>6.4227999999999993E-2</v>
      </c>
      <c r="N234" s="6">
        <v>9.1713000000000005E-4</v>
      </c>
      <c r="O234" s="6" t="s">
        <v>17</v>
      </c>
    </row>
    <row r="235" spans="1:15" ht="17" x14ac:dyDescent="0.35">
      <c r="A235" s="14">
        <v>118.38</v>
      </c>
      <c r="B235" s="11">
        <v>23.125</v>
      </c>
      <c r="C235" s="6">
        <v>19.396999999999998</v>
      </c>
      <c r="D235" s="6">
        <v>5.1554000000000003E-2</v>
      </c>
      <c r="E235" s="6">
        <v>-0.78088000000000002</v>
      </c>
      <c r="F235" s="6">
        <v>-0.66166000000000003</v>
      </c>
      <c r="G235" s="6">
        <v>106.63</v>
      </c>
      <c r="H235" s="6">
        <v>27.82</v>
      </c>
      <c r="I235" s="6">
        <v>109.9</v>
      </c>
      <c r="J235" s="6">
        <v>346.88</v>
      </c>
      <c r="K235" s="6">
        <v>0.11139</v>
      </c>
      <c r="L235" s="6">
        <v>41.387</v>
      </c>
      <c r="M235" s="6">
        <v>6.4065999999999998E-2</v>
      </c>
      <c r="N235" s="6">
        <v>9.0492000000000003E-4</v>
      </c>
      <c r="O235" s="6" t="s">
        <v>17</v>
      </c>
    </row>
    <row r="236" spans="1:15" ht="17" x14ac:dyDescent="0.35">
      <c r="A236" s="14">
        <v>118.46</v>
      </c>
      <c r="B236" s="11">
        <v>23.225000000000001</v>
      </c>
      <c r="C236" s="6">
        <v>19.361999999999998</v>
      </c>
      <c r="D236" s="6">
        <v>5.1646999999999998E-2</v>
      </c>
      <c r="E236" s="6">
        <v>-0.77356000000000003</v>
      </c>
      <c r="F236" s="6">
        <v>-0.65359999999999996</v>
      </c>
      <c r="G236" s="6">
        <v>106.69</v>
      </c>
      <c r="H236" s="6">
        <v>27.84</v>
      </c>
      <c r="I236" s="6">
        <v>110.59</v>
      </c>
      <c r="J236" s="6">
        <v>345.4</v>
      </c>
      <c r="K236" s="6">
        <v>0.11271</v>
      </c>
      <c r="L236" s="6">
        <v>41.235999999999997</v>
      </c>
      <c r="M236" s="6">
        <v>6.3905000000000003E-2</v>
      </c>
      <c r="N236" s="6">
        <v>8.9276999999999998E-4</v>
      </c>
      <c r="O236" s="6" t="s">
        <v>17</v>
      </c>
    </row>
    <row r="237" spans="1:15" ht="17" x14ac:dyDescent="0.35">
      <c r="A237" s="14">
        <v>118.55</v>
      </c>
      <c r="B237" s="11">
        <v>23.324999999999999</v>
      </c>
      <c r="C237" s="6">
        <v>19.327000000000002</v>
      </c>
      <c r="D237" s="6">
        <v>5.1741000000000002E-2</v>
      </c>
      <c r="E237" s="6">
        <v>-0.76622999999999997</v>
      </c>
      <c r="F237" s="6">
        <v>-0.64554</v>
      </c>
      <c r="G237" s="6">
        <v>106.76</v>
      </c>
      <c r="H237" s="6">
        <v>27.861000000000001</v>
      </c>
      <c r="I237" s="6">
        <v>111.29</v>
      </c>
      <c r="J237" s="6">
        <v>343.92</v>
      </c>
      <c r="K237" s="6">
        <v>0.11404</v>
      </c>
      <c r="L237" s="6">
        <v>41.085999999999999</v>
      </c>
      <c r="M237" s="6">
        <v>6.3743999999999995E-2</v>
      </c>
      <c r="N237" s="6">
        <v>8.8069999999999999E-4</v>
      </c>
      <c r="O237" s="6" t="s">
        <v>17</v>
      </c>
    </row>
    <row r="238" spans="1:15" ht="17" x14ac:dyDescent="0.35">
      <c r="A238" s="14">
        <v>118.63</v>
      </c>
      <c r="B238" s="11">
        <v>23.425000000000001</v>
      </c>
      <c r="C238" s="6">
        <v>19.292000000000002</v>
      </c>
      <c r="D238" s="6">
        <v>5.1834999999999999E-2</v>
      </c>
      <c r="E238" s="6">
        <v>-0.75890000000000002</v>
      </c>
      <c r="F238" s="6">
        <v>-0.63748000000000005</v>
      </c>
      <c r="G238" s="6">
        <v>106.82</v>
      </c>
      <c r="H238" s="6">
        <v>27.882000000000001</v>
      </c>
      <c r="I238" s="6">
        <v>112</v>
      </c>
      <c r="J238" s="6">
        <v>342.44</v>
      </c>
      <c r="K238" s="6">
        <v>0.11539000000000001</v>
      </c>
      <c r="L238" s="6">
        <v>40.935000000000002</v>
      </c>
      <c r="M238" s="6">
        <v>6.3584000000000002E-2</v>
      </c>
      <c r="N238" s="6">
        <v>8.6870000000000003E-4</v>
      </c>
      <c r="O238" s="6" t="s">
        <v>17</v>
      </c>
    </row>
    <row r="239" spans="1:15" ht="17" x14ac:dyDescent="0.35">
      <c r="A239" s="14">
        <v>118.72</v>
      </c>
      <c r="B239" s="11">
        <v>23.524999999999999</v>
      </c>
      <c r="C239" s="6">
        <v>19.257000000000001</v>
      </c>
      <c r="D239" s="6">
        <v>5.1929999999999997E-2</v>
      </c>
      <c r="E239" s="6">
        <v>-0.75156999999999996</v>
      </c>
      <c r="F239" s="6">
        <v>-0.62941000000000003</v>
      </c>
      <c r="G239" s="6">
        <v>106.88</v>
      </c>
      <c r="H239" s="6">
        <v>27.904</v>
      </c>
      <c r="I239" s="6">
        <v>112.72</v>
      </c>
      <c r="J239" s="6">
        <v>340.95</v>
      </c>
      <c r="K239" s="6">
        <v>0.11675000000000001</v>
      </c>
      <c r="L239" s="6">
        <v>40.784999999999997</v>
      </c>
      <c r="M239" s="6">
        <v>6.3424999999999995E-2</v>
      </c>
      <c r="N239" s="6">
        <v>8.5676999999999997E-4</v>
      </c>
      <c r="O239" s="6" t="s">
        <v>17</v>
      </c>
    </row>
    <row r="240" spans="1:15" ht="17" x14ac:dyDescent="0.35">
      <c r="A240" s="14">
        <v>118.8</v>
      </c>
      <c r="B240" s="11">
        <v>23.625</v>
      </c>
      <c r="C240" s="6">
        <v>19.221</v>
      </c>
      <c r="D240" s="6">
        <v>5.2026000000000003E-2</v>
      </c>
      <c r="E240" s="6">
        <v>-0.74424000000000001</v>
      </c>
      <c r="F240" s="6">
        <v>-0.62133000000000005</v>
      </c>
      <c r="G240" s="6">
        <v>106.95</v>
      </c>
      <c r="H240" s="6">
        <v>27.925999999999998</v>
      </c>
      <c r="I240" s="6">
        <v>113.46</v>
      </c>
      <c r="J240" s="6">
        <v>339.47</v>
      </c>
      <c r="K240" s="6">
        <v>0.11812</v>
      </c>
      <c r="L240" s="6">
        <v>40.634999999999998</v>
      </c>
      <c r="M240" s="6">
        <v>6.3266000000000003E-2</v>
      </c>
      <c r="N240" s="6">
        <v>8.4489999999999999E-4</v>
      </c>
      <c r="O240" s="6" t="s">
        <v>17</v>
      </c>
    </row>
    <row r="241" spans="1:15" ht="17" x14ac:dyDescent="0.35">
      <c r="A241" s="14">
        <v>118.88</v>
      </c>
      <c r="B241" s="11">
        <v>23.725000000000001</v>
      </c>
      <c r="C241" s="6">
        <v>19.186</v>
      </c>
      <c r="D241" s="6">
        <v>5.2122000000000002E-2</v>
      </c>
      <c r="E241" s="6">
        <v>-0.7369</v>
      </c>
      <c r="F241" s="6">
        <v>-0.61324000000000001</v>
      </c>
      <c r="G241" s="6">
        <v>107.01</v>
      </c>
      <c r="H241" s="6">
        <v>27.948</v>
      </c>
      <c r="I241" s="6">
        <v>114.21</v>
      </c>
      <c r="J241" s="6">
        <v>337.98</v>
      </c>
      <c r="K241" s="6">
        <v>0.11951000000000001</v>
      </c>
      <c r="L241" s="6">
        <v>40.484999999999999</v>
      </c>
      <c r="M241" s="6">
        <v>6.3107999999999997E-2</v>
      </c>
      <c r="N241" s="6">
        <v>8.3310999999999997E-4</v>
      </c>
      <c r="O241" s="6" t="s">
        <v>17</v>
      </c>
    </row>
    <row r="242" spans="1:15" ht="17" x14ac:dyDescent="0.35">
      <c r="A242" s="14">
        <v>118.96</v>
      </c>
      <c r="B242" s="11">
        <v>23.824999999999999</v>
      </c>
      <c r="C242" s="6">
        <v>19.149999999999999</v>
      </c>
      <c r="D242" s="6">
        <v>5.2219000000000002E-2</v>
      </c>
      <c r="E242" s="6">
        <v>-0.72955999999999999</v>
      </c>
      <c r="F242" s="6">
        <v>-0.60514999999999997</v>
      </c>
      <c r="G242" s="6">
        <v>107.07</v>
      </c>
      <c r="H242" s="6">
        <v>27.971</v>
      </c>
      <c r="I242" s="6">
        <v>114.97</v>
      </c>
      <c r="J242" s="6">
        <v>336.5</v>
      </c>
      <c r="K242" s="6">
        <v>0.12092</v>
      </c>
      <c r="L242" s="6">
        <v>40.335000000000001</v>
      </c>
      <c r="M242" s="6">
        <v>6.2950999999999993E-2</v>
      </c>
      <c r="N242" s="6">
        <v>8.2138999999999997E-4</v>
      </c>
      <c r="O242" s="6" t="s">
        <v>17</v>
      </c>
    </row>
    <row r="243" spans="1:15" ht="17" x14ac:dyDescent="0.35">
      <c r="A243" s="14">
        <v>119.05</v>
      </c>
      <c r="B243" s="11">
        <v>23.925000000000001</v>
      </c>
      <c r="C243" s="6">
        <v>19.114000000000001</v>
      </c>
      <c r="D243" s="6">
        <v>5.2317000000000002E-2</v>
      </c>
      <c r="E243" s="6">
        <v>-0.72221000000000002</v>
      </c>
      <c r="F243" s="6">
        <v>-0.59704000000000002</v>
      </c>
      <c r="G243" s="6">
        <v>107.14</v>
      </c>
      <c r="H243" s="6">
        <v>27.995000000000001</v>
      </c>
      <c r="I243" s="6">
        <v>115.75</v>
      </c>
      <c r="J243" s="6">
        <v>335.01</v>
      </c>
      <c r="K243" s="6">
        <v>0.12234</v>
      </c>
      <c r="L243" s="6">
        <v>40.185000000000002</v>
      </c>
      <c r="M243" s="6">
        <v>6.2795000000000004E-2</v>
      </c>
      <c r="N243" s="6">
        <v>8.0973999999999998E-4</v>
      </c>
      <c r="O243" s="6" t="s">
        <v>17</v>
      </c>
    </row>
    <row r="244" spans="1:15" ht="17" x14ac:dyDescent="0.35">
      <c r="A244" s="14">
        <v>119.13</v>
      </c>
      <c r="B244" s="11">
        <v>24.024999999999999</v>
      </c>
      <c r="C244" s="6">
        <v>19.077999999999999</v>
      </c>
      <c r="D244" s="6">
        <v>5.2415000000000003E-2</v>
      </c>
      <c r="E244" s="6">
        <v>-0.71486000000000005</v>
      </c>
      <c r="F244" s="6">
        <v>-0.58892999999999995</v>
      </c>
      <c r="G244" s="6">
        <v>107.2</v>
      </c>
      <c r="H244" s="6">
        <v>28.018000000000001</v>
      </c>
      <c r="I244" s="6">
        <v>116.55</v>
      </c>
      <c r="J244" s="6">
        <v>333.52</v>
      </c>
      <c r="K244" s="6">
        <v>0.12377000000000001</v>
      </c>
      <c r="L244" s="6">
        <v>40.036000000000001</v>
      </c>
      <c r="M244" s="6">
        <v>6.2639E-2</v>
      </c>
      <c r="N244" s="6">
        <v>7.9816000000000002E-4</v>
      </c>
      <c r="O244" s="6" t="s">
        <v>17</v>
      </c>
    </row>
    <row r="245" spans="1:15" ht="17" x14ac:dyDescent="0.35">
      <c r="A245" s="14">
        <v>119.21</v>
      </c>
      <c r="B245" s="11">
        <v>24.125</v>
      </c>
      <c r="C245" s="6">
        <v>19.042000000000002</v>
      </c>
      <c r="D245" s="6">
        <v>5.2514999999999999E-2</v>
      </c>
      <c r="E245" s="6">
        <v>-0.70750999999999997</v>
      </c>
      <c r="F245" s="6">
        <v>-0.58081000000000005</v>
      </c>
      <c r="G245" s="6">
        <v>107.26</v>
      </c>
      <c r="H245" s="6">
        <v>28.042999999999999</v>
      </c>
      <c r="I245" s="6">
        <v>117.36</v>
      </c>
      <c r="J245" s="6">
        <v>332.03</v>
      </c>
      <c r="K245" s="6">
        <v>0.12522</v>
      </c>
      <c r="L245" s="6">
        <v>39.886000000000003</v>
      </c>
      <c r="M245" s="6">
        <v>6.2483999999999998E-2</v>
      </c>
      <c r="N245" s="6">
        <v>7.8664999999999996E-4</v>
      </c>
      <c r="O245" s="6" t="s">
        <v>17</v>
      </c>
    </row>
    <row r="246" spans="1:15" ht="17" x14ac:dyDescent="0.35">
      <c r="A246" s="14">
        <v>119.29</v>
      </c>
      <c r="B246" s="11">
        <v>24.225000000000001</v>
      </c>
      <c r="C246" s="6">
        <v>19.006</v>
      </c>
      <c r="D246" s="6">
        <v>5.2614000000000001E-2</v>
      </c>
      <c r="E246" s="6">
        <v>-0.70013999999999998</v>
      </c>
      <c r="F246" s="6">
        <v>-0.57267999999999997</v>
      </c>
      <c r="G246" s="6">
        <v>107.33</v>
      </c>
      <c r="H246" s="6">
        <v>28.068000000000001</v>
      </c>
      <c r="I246" s="6">
        <v>118.19</v>
      </c>
      <c r="J246" s="6">
        <v>330.54</v>
      </c>
      <c r="K246" s="6">
        <v>0.12669</v>
      </c>
      <c r="L246" s="6">
        <v>39.737000000000002</v>
      </c>
      <c r="M246" s="6">
        <v>6.2330000000000003E-2</v>
      </c>
      <c r="N246" s="6">
        <v>7.7521000000000003E-4</v>
      </c>
      <c r="O246" s="6" t="s">
        <v>17</v>
      </c>
    </row>
    <row r="247" spans="1:15" ht="17" x14ac:dyDescent="0.35">
      <c r="A247" s="14">
        <v>119.37</v>
      </c>
      <c r="B247" s="11">
        <v>24.324999999999999</v>
      </c>
      <c r="C247" s="6">
        <v>18.97</v>
      </c>
      <c r="D247" s="6">
        <v>5.2714999999999998E-2</v>
      </c>
      <c r="E247" s="6">
        <v>-0.69277</v>
      </c>
      <c r="F247" s="6">
        <v>-0.56454000000000004</v>
      </c>
      <c r="G247" s="6">
        <v>107.39</v>
      </c>
      <c r="H247" s="6">
        <v>28.093</v>
      </c>
      <c r="I247" s="6">
        <v>119.03</v>
      </c>
      <c r="J247" s="6">
        <v>329.05</v>
      </c>
      <c r="K247" s="6">
        <v>0.12817999999999999</v>
      </c>
      <c r="L247" s="6">
        <v>39.588000000000001</v>
      </c>
      <c r="M247" s="6">
        <v>6.2177000000000003E-2</v>
      </c>
      <c r="N247" s="6">
        <v>7.6382999999999996E-4</v>
      </c>
      <c r="O247" s="6" t="s">
        <v>17</v>
      </c>
    </row>
    <row r="248" spans="1:15" ht="17" x14ac:dyDescent="0.35">
      <c r="A248" s="14">
        <v>119.45</v>
      </c>
      <c r="B248" s="11">
        <v>24.425000000000001</v>
      </c>
      <c r="C248" s="6">
        <v>18.934000000000001</v>
      </c>
      <c r="D248" s="6">
        <v>5.2816000000000002E-2</v>
      </c>
      <c r="E248" s="6">
        <v>-0.68540000000000001</v>
      </c>
      <c r="F248" s="6">
        <v>-0.55639000000000005</v>
      </c>
      <c r="G248" s="6">
        <v>107.46</v>
      </c>
      <c r="H248" s="6">
        <v>28.119</v>
      </c>
      <c r="I248" s="6">
        <v>119.9</v>
      </c>
      <c r="J248" s="6">
        <v>327.55</v>
      </c>
      <c r="K248" s="6">
        <v>0.12967999999999999</v>
      </c>
      <c r="L248" s="6">
        <v>39.439</v>
      </c>
      <c r="M248" s="6">
        <v>6.2024000000000003E-2</v>
      </c>
      <c r="N248" s="6">
        <v>7.5252999999999995E-4</v>
      </c>
      <c r="O248" s="6" t="s">
        <v>17</v>
      </c>
    </row>
    <row r="249" spans="1:15" ht="17" x14ac:dyDescent="0.35">
      <c r="A249" s="14">
        <v>119.54</v>
      </c>
      <c r="B249" s="11">
        <v>24.524999999999999</v>
      </c>
      <c r="C249" s="6">
        <v>18.896999999999998</v>
      </c>
      <c r="D249" s="6">
        <v>5.2918E-2</v>
      </c>
      <c r="E249" s="6">
        <v>-0.67801999999999996</v>
      </c>
      <c r="F249" s="6">
        <v>-0.54823</v>
      </c>
      <c r="G249" s="6">
        <v>107.52</v>
      </c>
      <c r="H249" s="6">
        <v>28.145</v>
      </c>
      <c r="I249" s="6">
        <v>120.78</v>
      </c>
      <c r="J249" s="6">
        <v>326.06</v>
      </c>
      <c r="K249" s="6">
        <v>0.13120000000000001</v>
      </c>
      <c r="L249" s="6">
        <v>39.29</v>
      </c>
      <c r="M249" s="6">
        <v>6.1872000000000003E-2</v>
      </c>
      <c r="N249" s="6">
        <v>7.4129000000000003E-4</v>
      </c>
      <c r="O249" s="6" t="s">
        <v>17</v>
      </c>
    </row>
    <row r="250" spans="1:15" ht="17" x14ac:dyDescent="0.35">
      <c r="A250" s="14">
        <v>119.62</v>
      </c>
      <c r="B250" s="11">
        <v>24.625</v>
      </c>
      <c r="C250" s="6">
        <v>18.86</v>
      </c>
      <c r="D250" s="6">
        <v>5.3020999999999999E-2</v>
      </c>
      <c r="E250" s="6">
        <v>-0.67061999999999999</v>
      </c>
      <c r="F250" s="6">
        <v>-0.54005999999999998</v>
      </c>
      <c r="G250" s="6">
        <v>107.58</v>
      </c>
      <c r="H250" s="6">
        <v>28.172000000000001</v>
      </c>
      <c r="I250" s="6">
        <v>121.68</v>
      </c>
      <c r="J250" s="6">
        <v>324.56</v>
      </c>
      <c r="K250" s="6">
        <v>0.13272999999999999</v>
      </c>
      <c r="L250" s="6">
        <v>39.140999999999998</v>
      </c>
      <c r="M250" s="6">
        <v>6.1720999999999998E-2</v>
      </c>
      <c r="N250" s="6">
        <v>7.3012000000000001E-4</v>
      </c>
      <c r="O250" s="6" t="s">
        <v>17</v>
      </c>
    </row>
    <row r="251" spans="1:15" ht="17" x14ac:dyDescent="0.35">
      <c r="A251" s="14">
        <v>119.7</v>
      </c>
      <c r="B251" s="11">
        <v>24.725000000000001</v>
      </c>
      <c r="C251" s="6">
        <v>18.824000000000002</v>
      </c>
      <c r="D251" s="6">
        <v>5.3124999999999999E-2</v>
      </c>
      <c r="E251" s="6">
        <v>-0.66322999999999999</v>
      </c>
      <c r="F251" s="6">
        <v>-0.53186999999999995</v>
      </c>
      <c r="G251" s="6">
        <v>107.65</v>
      </c>
      <c r="H251" s="6">
        <v>28.2</v>
      </c>
      <c r="I251" s="6">
        <v>122.59</v>
      </c>
      <c r="J251" s="6">
        <v>323.06</v>
      </c>
      <c r="K251" s="6">
        <v>0.13428000000000001</v>
      </c>
      <c r="L251" s="6">
        <v>38.991999999999997</v>
      </c>
      <c r="M251" s="6">
        <v>6.1571000000000001E-2</v>
      </c>
      <c r="N251" s="6">
        <v>7.1902000000000001E-4</v>
      </c>
      <c r="O251" s="6" t="s">
        <v>17</v>
      </c>
    </row>
    <row r="252" spans="1:15" ht="17" x14ac:dyDescent="0.35">
      <c r="A252" s="14">
        <v>119.78</v>
      </c>
      <c r="B252" s="11">
        <v>24.824999999999999</v>
      </c>
      <c r="C252" s="6">
        <v>18.786999999999999</v>
      </c>
      <c r="D252" s="6">
        <v>5.3228999999999999E-2</v>
      </c>
      <c r="E252" s="6">
        <v>-0.65581999999999996</v>
      </c>
      <c r="F252" s="6">
        <v>-0.52368000000000003</v>
      </c>
      <c r="G252" s="6">
        <v>107.71</v>
      </c>
      <c r="H252" s="6">
        <v>28.228000000000002</v>
      </c>
      <c r="I252" s="6">
        <v>123.53</v>
      </c>
      <c r="J252" s="6">
        <v>321.56</v>
      </c>
      <c r="K252" s="6">
        <v>0.13586000000000001</v>
      </c>
      <c r="L252" s="6">
        <v>38.843000000000004</v>
      </c>
      <c r="M252" s="6">
        <v>6.1421000000000003E-2</v>
      </c>
      <c r="N252" s="6">
        <v>7.0799000000000003E-4</v>
      </c>
      <c r="O252" s="6" t="s">
        <v>17</v>
      </c>
    </row>
    <row r="253" spans="1:15" ht="17" x14ac:dyDescent="0.35">
      <c r="A253" s="14">
        <v>119.86</v>
      </c>
      <c r="B253" s="11">
        <v>24.925000000000001</v>
      </c>
      <c r="C253" s="6">
        <v>18.75</v>
      </c>
      <c r="D253" s="6">
        <v>5.3333999999999999E-2</v>
      </c>
      <c r="E253" s="6">
        <v>-0.64839999999999998</v>
      </c>
      <c r="F253" s="6">
        <v>-0.51546999999999998</v>
      </c>
      <c r="G253" s="6">
        <v>107.78</v>
      </c>
      <c r="H253" s="6">
        <v>28.256</v>
      </c>
      <c r="I253" s="6">
        <v>124.49</v>
      </c>
      <c r="J253" s="6">
        <v>320.05</v>
      </c>
      <c r="K253" s="6">
        <v>0.13744999999999999</v>
      </c>
      <c r="L253" s="6">
        <v>38.694000000000003</v>
      </c>
      <c r="M253" s="6">
        <v>6.1273000000000001E-2</v>
      </c>
      <c r="N253" s="6">
        <v>6.9702000000000002E-4</v>
      </c>
      <c r="O253" s="6" t="s">
        <v>17</v>
      </c>
    </row>
    <row r="254" spans="1:15" ht="17" x14ac:dyDescent="0.35">
      <c r="A254" s="14">
        <v>119.94</v>
      </c>
      <c r="B254" s="11">
        <v>25.024999999999999</v>
      </c>
      <c r="C254" s="6">
        <v>18.712</v>
      </c>
      <c r="D254" s="6">
        <v>5.3440000000000001E-2</v>
      </c>
      <c r="E254" s="6">
        <v>-0.64097999999999999</v>
      </c>
      <c r="F254" s="6">
        <v>-0.50724000000000002</v>
      </c>
      <c r="G254" s="6">
        <v>107.84</v>
      </c>
      <c r="H254" s="6">
        <v>28.285</v>
      </c>
      <c r="I254" s="6">
        <v>125.47</v>
      </c>
      <c r="J254" s="6">
        <v>318.55</v>
      </c>
      <c r="K254" s="6">
        <v>0.13905999999999999</v>
      </c>
      <c r="L254" s="6">
        <v>38.545000000000002</v>
      </c>
      <c r="M254" s="6">
        <v>6.1124999999999999E-2</v>
      </c>
      <c r="N254" s="6">
        <v>6.8612000000000002E-4</v>
      </c>
      <c r="O254" s="6" t="s">
        <v>17</v>
      </c>
    </row>
    <row r="255" spans="1:15" ht="17" x14ac:dyDescent="0.35">
      <c r="A255" s="14">
        <v>120.02</v>
      </c>
      <c r="B255" s="11">
        <v>25.125</v>
      </c>
      <c r="C255" s="6">
        <v>18.675000000000001</v>
      </c>
      <c r="D255" s="6">
        <v>5.3546999999999997E-2</v>
      </c>
      <c r="E255" s="6">
        <v>-0.63353999999999999</v>
      </c>
      <c r="F255" s="6">
        <v>-0.499</v>
      </c>
      <c r="G255" s="6">
        <v>107.9</v>
      </c>
      <c r="H255" s="6">
        <v>28.315000000000001</v>
      </c>
      <c r="I255" s="6">
        <v>126.47</v>
      </c>
      <c r="J255" s="6">
        <v>317.04000000000002</v>
      </c>
      <c r="K255" s="6">
        <v>0.14069000000000001</v>
      </c>
      <c r="L255" s="6">
        <v>38.396999999999998</v>
      </c>
      <c r="M255" s="6">
        <v>6.0977999999999997E-2</v>
      </c>
      <c r="N255" s="6">
        <v>6.7529000000000005E-4</v>
      </c>
      <c r="O255" s="6" t="s">
        <v>17</v>
      </c>
    </row>
    <row r="256" spans="1:15" ht="17" x14ac:dyDescent="0.35">
      <c r="A256" s="14">
        <v>120.09</v>
      </c>
      <c r="B256" s="11">
        <v>25.225000000000001</v>
      </c>
      <c r="C256" s="6">
        <v>18.638000000000002</v>
      </c>
      <c r="D256" s="6">
        <v>5.3655000000000001E-2</v>
      </c>
      <c r="E256" s="6">
        <v>-0.62609999999999999</v>
      </c>
      <c r="F256" s="6">
        <v>-0.49075000000000002</v>
      </c>
      <c r="G256" s="6">
        <v>107.97</v>
      </c>
      <c r="H256" s="6">
        <v>28.346</v>
      </c>
      <c r="I256" s="6">
        <v>127.49</v>
      </c>
      <c r="J256" s="6">
        <v>315.52999999999997</v>
      </c>
      <c r="K256" s="6">
        <v>0.14233000000000001</v>
      </c>
      <c r="L256" s="6">
        <v>38.247999999999998</v>
      </c>
      <c r="M256" s="6">
        <v>6.0831000000000003E-2</v>
      </c>
      <c r="N256" s="6">
        <v>6.6452999999999998E-4</v>
      </c>
      <c r="O256" s="6" t="s">
        <v>17</v>
      </c>
    </row>
    <row r="257" spans="1:15" ht="17" x14ac:dyDescent="0.35">
      <c r="A257" s="14">
        <v>120.17</v>
      </c>
      <c r="B257" s="11">
        <v>25.324999999999999</v>
      </c>
      <c r="C257" s="6">
        <v>18.600000000000001</v>
      </c>
      <c r="D257" s="6">
        <v>5.3763999999999999E-2</v>
      </c>
      <c r="E257" s="6">
        <v>-0.61863999999999997</v>
      </c>
      <c r="F257" s="6">
        <v>-0.48248000000000002</v>
      </c>
      <c r="G257" s="6">
        <v>108.03</v>
      </c>
      <c r="H257" s="6">
        <v>28.376999999999999</v>
      </c>
      <c r="I257" s="6">
        <v>128.54</v>
      </c>
      <c r="J257" s="6">
        <v>314.01</v>
      </c>
      <c r="K257" s="6">
        <v>0.14399999999999999</v>
      </c>
      <c r="L257" s="6">
        <v>38.098999999999997</v>
      </c>
      <c r="M257" s="6">
        <v>6.0685999999999997E-2</v>
      </c>
      <c r="N257" s="6">
        <v>6.5382999999999999E-4</v>
      </c>
      <c r="O257" s="6" t="s">
        <v>17</v>
      </c>
    </row>
    <row r="258" spans="1:15" ht="17" x14ac:dyDescent="0.35">
      <c r="A258" s="14">
        <v>120.25</v>
      </c>
      <c r="B258" s="11">
        <v>25.425000000000001</v>
      </c>
      <c r="C258" s="6">
        <v>18.562000000000001</v>
      </c>
      <c r="D258" s="6">
        <v>5.3873999999999998E-2</v>
      </c>
      <c r="E258" s="6">
        <v>-0.61116999999999999</v>
      </c>
      <c r="F258" s="6">
        <v>-0.47420000000000001</v>
      </c>
      <c r="G258" s="6">
        <v>108.1</v>
      </c>
      <c r="H258" s="6">
        <v>28.408999999999999</v>
      </c>
      <c r="I258" s="6">
        <v>129.61000000000001</v>
      </c>
      <c r="J258" s="6">
        <v>312.5</v>
      </c>
      <c r="K258" s="6">
        <v>0.14568999999999999</v>
      </c>
      <c r="L258" s="6">
        <v>37.950000000000003</v>
      </c>
      <c r="M258" s="6">
        <v>6.0541999999999999E-2</v>
      </c>
      <c r="N258" s="6">
        <v>6.4320000000000002E-4</v>
      </c>
      <c r="O258" s="6" t="s">
        <v>17</v>
      </c>
    </row>
    <row r="259" spans="1:15" ht="17" x14ac:dyDescent="0.35">
      <c r="A259" s="14">
        <v>120.33</v>
      </c>
      <c r="B259" s="11">
        <v>25.524999999999999</v>
      </c>
      <c r="C259" s="6">
        <v>18.524000000000001</v>
      </c>
      <c r="D259" s="6">
        <v>5.3983999999999997E-2</v>
      </c>
      <c r="E259" s="6">
        <v>-0.60368999999999995</v>
      </c>
      <c r="F259" s="6">
        <v>-0.46589999999999998</v>
      </c>
      <c r="G259" s="6">
        <v>108.16</v>
      </c>
      <c r="H259" s="6">
        <v>28.440999999999999</v>
      </c>
      <c r="I259" s="6">
        <v>130.71</v>
      </c>
      <c r="J259" s="6">
        <v>310.98</v>
      </c>
      <c r="K259" s="6">
        <v>0.1474</v>
      </c>
      <c r="L259" s="6">
        <v>37.801000000000002</v>
      </c>
      <c r="M259" s="6">
        <v>6.0398E-2</v>
      </c>
      <c r="N259" s="6">
        <v>6.3263000000000002E-4</v>
      </c>
      <c r="O259" s="6" t="s">
        <v>17</v>
      </c>
    </row>
    <row r="260" spans="1:15" ht="17" x14ac:dyDescent="0.35">
      <c r="A260" s="14">
        <v>120.41</v>
      </c>
      <c r="B260" s="11">
        <v>25.625</v>
      </c>
      <c r="C260" s="6">
        <v>18.486000000000001</v>
      </c>
      <c r="D260" s="6">
        <v>5.4095999999999998E-2</v>
      </c>
      <c r="E260" s="6">
        <v>-0.59619999999999995</v>
      </c>
      <c r="F260" s="6">
        <v>-0.45757999999999999</v>
      </c>
      <c r="G260" s="6">
        <v>108.23</v>
      </c>
      <c r="H260" s="6">
        <v>28.475000000000001</v>
      </c>
      <c r="I260" s="6">
        <v>131.83000000000001</v>
      </c>
      <c r="J260" s="6">
        <v>309.45</v>
      </c>
      <c r="K260" s="6">
        <v>0.14913000000000001</v>
      </c>
      <c r="L260" s="6">
        <v>37.652999999999999</v>
      </c>
      <c r="M260" s="6">
        <v>6.0255999999999997E-2</v>
      </c>
      <c r="N260" s="6">
        <v>6.2213000000000004E-4</v>
      </c>
      <c r="O260" s="6" t="s">
        <v>17</v>
      </c>
    </row>
    <row r="261" spans="1:15" ht="17" x14ac:dyDescent="0.35">
      <c r="A261" s="14">
        <v>120.49</v>
      </c>
      <c r="B261" s="11">
        <v>25.725000000000001</v>
      </c>
      <c r="C261" s="6">
        <v>18.446999999999999</v>
      </c>
      <c r="D261" s="6">
        <v>5.4207999999999999E-2</v>
      </c>
      <c r="E261" s="6">
        <v>-0.58869000000000005</v>
      </c>
      <c r="F261" s="6">
        <v>-0.44923999999999997</v>
      </c>
      <c r="G261" s="6">
        <v>108.29</v>
      </c>
      <c r="H261" s="6">
        <v>28.509</v>
      </c>
      <c r="I261" s="6">
        <v>132.97999999999999</v>
      </c>
      <c r="J261" s="6">
        <v>307.93</v>
      </c>
      <c r="K261" s="6">
        <v>0.15089</v>
      </c>
      <c r="L261" s="6">
        <v>37.503999999999998</v>
      </c>
      <c r="M261" s="6">
        <v>6.0114000000000001E-2</v>
      </c>
      <c r="N261" s="6">
        <v>6.1169999999999996E-4</v>
      </c>
      <c r="O261" s="6" t="s">
        <v>17</v>
      </c>
    </row>
    <row r="262" spans="1:15" ht="17" x14ac:dyDescent="0.35">
      <c r="A262" s="14">
        <v>120.56</v>
      </c>
      <c r="B262" s="11">
        <v>25.824999999999999</v>
      </c>
      <c r="C262" s="6">
        <v>18.408999999999999</v>
      </c>
      <c r="D262" s="6">
        <v>5.4322000000000002E-2</v>
      </c>
      <c r="E262" s="6">
        <v>-0.58116999999999996</v>
      </c>
      <c r="F262" s="6">
        <v>-0.44089</v>
      </c>
      <c r="G262" s="6">
        <v>108.36</v>
      </c>
      <c r="H262" s="6">
        <v>28.542999999999999</v>
      </c>
      <c r="I262" s="6">
        <v>134.16</v>
      </c>
      <c r="J262" s="6">
        <v>306.39999999999998</v>
      </c>
      <c r="K262" s="6">
        <v>0.15267</v>
      </c>
      <c r="L262" s="6">
        <v>37.354999999999997</v>
      </c>
      <c r="M262" s="6">
        <v>5.9972999999999999E-2</v>
      </c>
      <c r="N262" s="6">
        <v>6.0132999999999996E-4</v>
      </c>
      <c r="O262" s="6" t="s">
        <v>17</v>
      </c>
    </row>
    <row r="263" spans="1:15" ht="17" x14ac:dyDescent="0.35">
      <c r="A263" s="14">
        <v>120.64</v>
      </c>
      <c r="B263" s="11">
        <v>25.925000000000001</v>
      </c>
      <c r="C263" s="6">
        <v>18.37</v>
      </c>
      <c r="D263" s="6">
        <v>5.4435999999999998E-2</v>
      </c>
      <c r="E263" s="6">
        <v>-0.57364000000000004</v>
      </c>
      <c r="F263" s="6">
        <v>-0.43251000000000001</v>
      </c>
      <c r="G263" s="6">
        <v>108.42</v>
      </c>
      <c r="H263" s="6">
        <v>28.579000000000001</v>
      </c>
      <c r="I263" s="6">
        <v>135.36000000000001</v>
      </c>
      <c r="J263" s="6">
        <v>304.87</v>
      </c>
      <c r="K263" s="6">
        <v>0.15447</v>
      </c>
      <c r="L263" s="6">
        <v>37.206000000000003</v>
      </c>
      <c r="M263" s="6">
        <v>5.9832999999999997E-2</v>
      </c>
      <c r="N263" s="6">
        <v>5.9102999999999998E-4</v>
      </c>
      <c r="O263" s="6" t="s">
        <v>17</v>
      </c>
    </row>
    <row r="264" spans="1:15" ht="17" x14ac:dyDescent="0.35">
      <c r="A264" s="14">
        <v>120.72</v>
      </c>
      <c r="B264" s="11">
        <v>26.024999999999999</v>
      </c>
      <c r="C264" s="6">
        <v>18.331</v>
      </c>
      <c r="D264" s="6">
        <v>5.4552000000000003E-2</v>
      </c>
      <c r="E264" s="6">
        <v>-0.56608999999999998</v>
      </c>
      <c r="F264" s="6">
        <v>-0.42412</v>
      </c>
      <c r="G264" s="6">
        <v>108.49</v>
      </c>
      <c r="H264" s="6">
        <v>28.614999999999998</v>
      </c>
      <c r="I264" s="6">
        <v>136.6</v>
      </c>
      <c r="J264" s="6">
        <v>303.33</v>
      </c>
      <c r="K264" s="6">
        <v>0.15629000000000001</v>
      </c>
      <c r="L264" s="6">
        <v>37.055999999999997</v>
      </c>
      <c r="M264" s="6">
        <v>5.9694999999999998E-2</v>
      </c>
      <c r="N264" s="6">
        <v>5.8080000000000002E-4</v>
      </c>
      <c r="O264" s="6" t="s">
        <v>17</v>
      </c>
    </row>
    <row r="265" spans="1:15" ht="17" x14ac:dyDescent="0.35">
      <c r="A265" s="14">
        <v>120.8</v>
      </c>
      <c r="B265" s="11">
        <v>26.125</v>
      </c>
      <c r="C265" s="6">
        <v>18.292000000000002</v>
      </c>
      <c r="D265" s="6">
        <v>5.4669000000000002E-2</v>
      </c>
      <c r="E265" s="6">
        <v>-0.55852999999999997</v>
      </c>
      <c r="F265" s="6">
        <v>-0.41570000000000001</v>
      </c>
      <c r="G265" s="6">
        <v>108.55</v>
      </c>
      <c r="H265" s="6">
        <v>28.652000000000001</v>
      </c>
      <c r="I265" s="6">
        <v>137.87</v>
      </c>
      <c r="J265" s="6">
        <v>301.8</v>
      </c>
      <c r="K265" s="6">
        <v>0.15814</v>
      </c>
      <c r="L265" s="6">
        <v>36.906999999999996</v>
      </c>
      <c r="M265" s="6">
        <v>5.9556999999999999E-2</v>
      </c>
      <c r="N265" s="6">
        <v>5.7063000000000003E-4</v>
      </c>
      <c r="O265" s="6" t="s">
        <v>17</v>
      </c>
    </row>
    <row r="266" spans="1:15" ht="17" x14ac:dyDescent="0.35">
      <c r="A266" s="14">
        <v>120.87</v>
      </c>
      <c r="B266" s="11">
        <v>26.225000000000001</v>
      </c>
      <c r="C266" s="6">
        <v>18.253</v>
      </c>
      <c r="D266" s="6">
        <v>5.4787000000000002E-2</v>
      </c>
      <c r="E266" s="6">
        <v>-0.55095000000000005</v>
      </c>
      <c r="F266" s="6">
        <v>-0.40727000000000002</v>
      </c>
      <c r="G266" s="6">
        <v>108.62</v>
      </c>
      <c r="H266" s="6">
        <v>28.69</v>
      </c>
      <c r="I266" s="6">
        <v>139.16999999999999</v>
      </c>
      <c r="J266" s="6">
        <v>300.25</v>
      </c>
      <c r="K266" s="6">
        <v>0.16001000000000001</v>
      </c>
      <c r="L266" s="6">
        <v>36.758000000000003</v>
      </c>
      <c r="M266" s="6">
        <v>5.9420000000000001E-2</v>
      </c>
      <c r="N266" s="6">
        <v>5.6052999999999995E-4</v>
      </c>
      <c r="O266" s="6" t="s">
        <v>17</v>
      </c>
    </row>
    <row r="267" spans="1:15" ht="17" x14ac:dyDescent="0.35">
      <c r="A267" s="14">
        <v>120.95</v>
      </c>
      <c r="B267" s="11">
        <v>26.324999999999999</v>
      </c>
      <c r="C267" s="6">
        <v>18.213000000000001</v>
      </c>
      <c r="D267" s="6">
        <v>5.4906000000000003E-2</v>
      </c>
      <c r="E267" s="6">
        <v>-0.54335</v>
      </c>
      <c r="F267" s="6">
        <v>-0.39881</v>
      </c>
      <c r="G267" s="6">
        <v>108.68</v>
      </c>
      <c r="H267" s="6">
        <v>28.728999999999999</v>
      </c>
      <c r="I267" s="6">
        <v>140.5</v>
      </c>
      <c r="J267" s="6">
        <v>298.70999999999998</v>
      </c>
      <c r="K267" s="6">
        <v>0.16189999999999999</v>
      </c>
      <c r="L267" s="6">
        <v>36.607999999999997</v>
      </c>
      <c r="M267" s="6">
        <v>5.9284999999999997E-2</v>
      </c>
      <c r="N267" s="6">
        <v>5.5049000000000005E-4</v>
      </c>
      <c r="O267" s="6" t="s">
        <v>17</v>
      </c>
    </row>
    <row r="268" spans="1:15" ht="17" x14ac:dyDescent="0.35">
      <c r="A268" s="14">
        <v>121.03</v>
      </c>
      <c r="B268" s="11">
        <v>26.425000000000001</v>
      </c>
      <c r="C268" s="6">
        <v>18.172999999999998</v>
      </c>
      <c r="D268" s="6">
        <v>5.5025999999999999E-2</v>
      </c>
      <c r="E268" s="6">
        <v>-0.53573999999999999</v>
      </c>
      <c r="F268" s="6">
        <v>-0.39033000000000001</v>
      </c>
      <c r="G268" s="6">
        <v>108.75</v>
      </c>
      <c r="H268" s="6">
        <v>28.768999999999998</v>
      </c>
      <c r="I268" s="6">
        <v>141.87</v>
      </c>
      <c r="J268" s="6">
        <v>297.16000000000003</v>
      </c>
      <c r="K268" s="6">
        <v>0.16383</v>
      </c>
      <c r="L268" s="6">
        <v>36.459000000000003</v>
      </c>
      <c r="M268" s="6">
        <v>5.9150000000000001E-2</v>
      </c>
      <c r="N268" s="6">
        <v>5.4051000000000001E-4</v>
      </c>
      <c r="O268" s="6" t="s">
        <v>17</v>
      </c>
    </row>
    <row r="269" spans="1:15" ht="17" x14ac:dyDescent="0.35">
      <c r="A269" s="14">
        <v>121.1</v>
      </c>
      <c r="B269" s="11">
        <v>26.524999999999999</v>
      </c>
      <c r="C269" s="6">
        <v>18.132999999999999</v>
      </c>
      <c r="D269" s="6">
        <v>5.5147000000000002E-2</v>
      </c>
      <c r="E269" s="6">
        <v>-0.52810000000000001</v>
      </c>
      <c r="F269" s="6">
        <v>-0.38181999999999999</v>
      </c>
      <c r="G269" s="6">
        <v>108.81</v>
      </c>
      <c r="H269" s="6">
        <v>28.81</v>
      </c>
      <c r="I269" s="6">
        <v>143.28</v>
      </c>
      <c r="J269" s="6">
        <v>295.60000000000002</v>
      </c>
      <c r="K269" s="6">
        <v>0.16578000000000001</v>
      </c>
      <c r="L269" s="6">
        <v>36.308999999999997</v>
      </c>
      <c r="M269" s="6">
        <v>5.9017E-2</v>
      </c>
      <c r="N269" s="6">
        <v>5.3061000000000004E-4</v>
      </c>
      <c r="O269" s="6" t="s">
        <v>17</v>
      </c>
    </row>
    <row r="270" spans="1:15" ht="17" x14ac:dyDescent="0.35">
      <c r="A270" s="14">
        <v>121.18</v>
      </c>
      <c r="B270" s="11">
        <v>26.625</v>
      </c>
      <c r="C270" s="6">
        <v>18.093</v>
      </c>
      <c r="D270" s="6">
        <v>5.527E-2</v>
      </c>
      <c r="E270" s="6">
        <v>-0.52044999999999997</v>
      </c>
      <c r="F270" s="6">
        <v>-0.37329000000000001</v>
      </c>
      <c r="G270" s="6">
        <v>108.88</v>
      </c>
      <c r="H270" s="6">
        <v>28.850999999999999</v>
      </c>
      <c r="I270" s="6">
        <v>144.72999999999999</v>
      </c>
      <c r="J270" s="6">
        <v>294.04000000000002</v>
      </c>
      <c r="K270" s="6">
        <v>0.16775000000000001</v>
      </c>
      <c r="L270" s="6">
        <v>36.158999999999999</v>
      </c>
      <c r="M270" s="6">
        <v>5.8885E-2</v>
      </c>
      <c r="N270" s="6">
        <v>5.2075999999999999E-4</v>
      </c>
      <c r="O270" s="6" t="s">
        <v>17</v>
      </c>
    </row>
    <row r="271" spans="1:15" ht="17" x14ac:dyDescent="0.35">
      <c r="A271" s="14">
        <v>121.25</v>
      </c>
      <c r="B271" s="11">
        <v>26.725000000000001</v>
      </c>
      <c r="C271" s="6">
        <v>18.053000000000001</v>
      </c>
      <c r="D271" s="6">
        <v>5.5393999999999999E-2</v>
      </c>
      <c r="E271" s="6">
        <v>-0.51278000000000001</v>
      </c>
      <c r="F271" s="6">
        <v>-0.36474000000000001</v>
      </c>
      <c r="G271" s="6">
        <v>108.95</v>
      </c>
      <c r="H271" s="6">
        <v>28.893999999999998</v>
      </c>
      <c r="I271" s="6">
        <v>146.21</v>
      </c>
      <c r="J271" s="6">
        <v>292.48</v>
      </c>
      <c r="K271" s="6">
        <v>0.16975999999999999</v>
      </c>
      <c r="L271" s="6">
        <v>36.008000000000003</v>
      </c>
      <c r="M271" s="6">
        <v>5.8754000000000001E-2</v>
      </c>
      <c r="N271" s="6">
        <v>5.1099000000000001E-4</v>
      </c>
      <c r="O271" s="6" t="s">
        <v>17</v>
      </c>
    </row>
    <row r="272" spans="1:15" ht="17" x14ac:dyDescent="0.35">
      <c r="A272" s="14">
        <v>121.33</v>
      </c>
      <c r="B272" s="11">
        <v>26.824999999999999</v>
      </c>
      <c r="C272" s="6">
        <v>18.012</v>
      </c>
      <c r="D272" s="6">
        <v>5.5518999999999999E-2</v>
      </c>
      <c r="E272" s="6">
        <v>-0.50509000000000004</v>
      </c>
      <c r="F272" s="6">
        <v>-0.35615999999999998</v>
      </c>
      <c r="G272" s="6">
        <v>109.01</v>
      </c>
      <c r="H272" s="6">
        <v>28.937999999999999</v>
      </c>
      <c r="I272" s="6">
        <v>147.74</v>
      </c>
      <c r="J272" s="6">
        <v>290.91000000000003</v>
      </c>
      <c r="K272" s="6">
        <v>0.17179</v>
      </c>
      <c r="L272" s="6">
        <v>35.857999999999997</v>
      </c>
      <c r="M272" s="6">
        <v>5.8624000000000002E-2</v>
      </c>
      <c r="N272" s="6">
        <v>5.0128E-4</v>
      </c>
      <c r="O272" s="6" t="s">
        <v>17</v>
      </c>
    </row>
    <row r="273" spans="1:15" ht="17" x14ac:dyDescent="0.35">
      <c r="A273" s="14">
        <v>121.4</v>
      </c>
      <c r="B273" s="11">
        <v>26.925000000000001</v>
      </c>
      <c r="C273" s="6">
        <v>17.971</v>
      </c>
      <c r="D273" s="6">
        <v>5.5645E-2</v>
      </c>
      <c r="E273" s="6">
        <v>-0.49736999999999998</v>
      </c>
      <c r="F273" s="6">
        <v>-0.34755000000000003</v>
      </c>
      <c r="G273" s="6">
        <v>109.08</v>
      </c>
      <c r="H273" s="6">
        <v>28.981999999999999</v>
      </c>
      <c r="I273" s="6">
        <v>149.31</v>
      </c>
      <c r="J273" s="6">
        <v>289.33999999999997</v>
      </c>
      <c r="K273" s="6">
        <v>0.17385</v>
      </c>
      <c r="L273" s="6">
        <v>35.707000000000001</v>
      </c>
      <c r="M273" s="6">
        <v>5.8495999999999999E-2</v>
      </c>
      <c r="N273" s="6">
        <v>4.9162999999999995E-4</v>
      </c>
      <c r="O273" s="6" t="s">
        <v>17</v>
      </c>
    </row>
    <row r="274" spans="1:15" ht="17" x14ac:dyDescent="0.35">
      <c r="A274" s="14">
        <v>121.48</v>
      </c>
      <c r="B274" s="11">
        <v>27.024999999999999</v>
      </c>
      <c r="C274" s="6">
        <v>17.93</v>
      </c>
      <c r="D274" s="6">
        <v>5.5773000000000003E-2</v>
      </c>
      <c r="E274" s="6">
        <v>-0.48964000000000002</v>
      </c>
      <c r="F274" s="6">
        <v>-0.33890999999999999</v>
      </c>
      <c r="G274" s="6">
        <v>109.14</v>
      </c>
      <c r="H274" s="6">
        <v>29.027999999999999</v>
      </c>
      <c r="I274" s="6">
        <v>150.93</v>
      </c>
      <c r="J274" s="6">
        <v>287.76</v>
      </c>
      <c r="K274" s="6">
        <v>0.17594000000000001</v>
      </c>
      <c r="L274" s="6">
        <v>35.555999999999997</v>
      </c>
      <c r="M274" s="6">
        <v>5.8368999999999997E-2</v>
      </c>
      <c r="N274" s="6">
        <v>4.8204999999999998E-4</v>
      </c>
      <c r="O274" s="6" t="s">
        <v>17</v>
      </c>
    </row>
    <row r="275" spans="1:15" ht="17" x14ac:dyDescent="0.35">
      <c r="A275" s="14">
        <v>121.55</v>
      </c>
      <c r="B275" s="11">
        <v>27.125</v>
      </c>
      <c r="C275" s="6">
        <v>17.888000000000002</v>
      </c>
      <c r="D275" s="6">
        <v>5.5902E-2</v>
      </c>
      <c r="E275" s="6">
        <v>-0.48187999999999998</v>
      </c>
      <c r="F275" s="6">
        <v>-0.33023999999999998</v>
      </c>
      <c r="G275" s="6">
        <v>109.21</v>
      </c>
      <c r="H275" s="6">
        <v>29.074999999999999</v>
      </c>
      <c r="I275" s="6">
        <v>152.59</v>
      </c>
      <c r="J275" s="6">
        <v>286.18</v>
      </c>
      <c r="K275" s="6">
        <v>0.17806</v>
      </c>
      <c r="L275" s="6">
        <v>35.405000000000001</v>
      </c>
      <c r="M275" s="6">
        <v>5.8243000000000003E-2</v>
      </c>
      <c r="N275" s="6">
        <v>4.7252999999999998E-4</v>
      </c>
      <c r="O275" s="6" t="s">
        <v>17</v>
      </c>
    </row>
    <row r="276" spans="1:15" ht="17" x14ac:dyDescent="0.35">
      <c r="A276" s="14">
        <v>121.63</v>
      </c>
      <c r="B276" s="11">
        <v>27.225000000000001</v>
      </c>
      <c r="C276" s="6">
        <v>17.847000000000001</v>
      </c>
      <c r="D276" s="6">
        <v>5.6032999999999999E-2</v>
      </c>
      <c r="E276" s="6">
        <v>-0.47409000000000001</v>
      </c>
      <c r="F276" s="6">
        <v>-0.32153999999999999</v>
      </c>
      <c r="G276" s="6">
        <v>109.28</v>
      </c>
      <c r="H276" s="6">
        <v>29.123000000000001</v>
      </c>
      <c r="I276" s="6">
        <v>154.31</v>
      </c>
      <c r="J276" s="6">
        <v>284.58999999999997</v>
      </c>
      <c r="K276" s="6">
        <v>0.18021000000000001</v>
      </c>
      <c r="L276" s="6">
        <v>35.253999999999998</v>
      </c>
      <c r="M276" s="6">
        <v>5.8118999999999997E-2</v>
      </c>
      <c r="N276" s="6">
        <v>4.6307999999999999E-4</v>
      </c>
      <c r="O276" s="6" t="s">
        <v>17</v>
      </c>
    </row>
    <row r="277" spans="1:15" ht="17" x14ac:dyDescent="0.35">
      <c r="A277" s="14">
        <v>121.7</v>
      </c>
      <c r="B277" s="11">
        <v>27.324999999999999</v>
      </c>
      <c r="C277" s="6">
        <v>17.805</v>
      </c>
      <c r="D277" s="6">
        <v>5.6165E-2</v>
      </c>
      <c r="E277" s="6">
        <v>-0.46627999999999997</v>
      </c>
      <c r="F277" s="6">
        <v>-0.31280999999999998</v>
      </c>
      <c r="G277" s="6">
        <v>109.34</v>
      </c>
      <c r="H277" s="6">
        <v>29.172000000000001</v>
      </c>
      <c r="I277" s="6">
        <v>156.07</v>
      </c>
      <c r="J277" s="6">
        <v>283</v>
      </c>
      <c r="K277" s="6">
        <v>0.18240000000000001</v>
      </c>
      <c r="L277" s="6">
        <v>35.101999999999997</v>
      </c>
      <c r="M277" s="6">
        <v>5.7995999999999999E-2</v>
      </c>
      <c r="N277" s="6">
        <v>4.5368999999999997E-4</v>
      </c>
      <c r="O277" s="6" t="s">
        <v>17</v>
      </c>
    </row>
    <row r="278" spans="1:15" ht="17" x14ac:dyDescent="0.35">
      <c r="A278" s="14">
        <v>121.78</v>
      </c>
      <c r="B278" s="11">
        <v>27.425000000000001</v>
      </c>
      <c r="C278" s="6">
        <v>17.763000000000002</v>
      </c>
      <c r="D278" s="6">
        <v>5.6298000000000001E-2</v>
      </c>
      <c r="E278" s="6">
        <v>-0.45845000000000002</v>
      </c>
      <c r="F278" s="6">
        <v>-0.30404999999999999</v>
      </c>
      <c r="G278" s="6">
        <v>109.41</v>
      </c>
      <c r="H278" s="6">
        <v>29.222999999999999</v>
      </c>
      <c r="I278" s="6">
        <v>157.88999999999999</v>
      </c>
      <c r="J278" s="6">
        <v>281.39999999999998</v>
      </c>
      <c r="K278" s="6">
        <v>0.18462000000000001</v>
      </c>
      <c r="L278" s="6">
        <v>34.950000000000003</v>
      </c>
      <c r="M278" s="6">
        <v>5.7874000000000002E-2</v>
      </c>
      <c r="N278" s="6">
        <v>4.4436999999999998E-4</v>
      </c>
      <c r="O278" s="6" t="s">
        <v>17</v>
      </c>
    </row>
    <row r="279" spans="1:15" ht="17" x14ac:dyDescent="0.35">
      <c r="A279" s="14">
        <v>121.85</v>
      </c>
      <c r="B279" s="11">
        <v>27.524999999999999</v>
      </c>
      <c r="C279" s="6">
        <v>17.72</v>
      </c>
      <c r="D279" s="6">
        <v>5.6432999999999997E-2</v>
      </c>
      <c r="E279" s="6">
        <v>-0.45058999999999999</v>
      </c>
      <c r="F279" s="6">
        <v>-0.29526000000000002</v>
      </c>
      <c r="G279" s="6">
        <v>109.48</v>
      </c>
      <c r="H279" s="6">
        <v>29.274999999999999</v>
      </c>
      <c r="I279" s="6">
        <v>159.77000000000001</v>
      </c>
      <c r="J279" s="6">
        <v>279.8</v>
      </c>
      <c r="K279" s="6">
        <v>0.18687000000000001</v>
      </c>
      <c r="L279" s="6">
        <v>34.798000000000002</v>
      </c>
      <c r="M279" s="6">
        <v>5.7755000000000001E-2</v>
      </c>
      <c r="N279" s="6">
        <v>4.3511E-4</v>
      </c>
      <c r="O279" s="6" t="s">
        <v>17</v>
      </c>
    </row>
    <row r="280" spans="1:15" ht="17" x14ac:dyDescent="0.35">
      <c r="A280" s="14">
        <v>121.93</v>
      </c>
      <c r="B280" s="11">
        <v>27.625</v>
      </c>
      <c r="C280" s="6">
        <v>17.677</v>
      </c>
      <c r="D280" s="6">
        <v>5.6570000000000002E-2</v>
      </c>
      <c r="E280" s="6">
        <v>-0.44269999999999998</v>
      </c>
      <c r="F280" s="6">
        <v>-0.28642000000000001</v>
      </c>
      <c r="G280" s="6">
        <v>109.55</v>
      </c>
      <c r="H280" s="6">
        <v>29.327999999999999</v>
      </c>
      <c r="I280" s="6">
        <v>161.71</v>
      </c>
      <c r="J280" s="6">
        <v>278.19</v>
      </c>
      <c r="K280" s="6">
        <v>0.18915999999999999</v>
      </c>
      <c r="L280" s="6">
        <v>34.645000000000003</v>
      </c>
      <c r="M280" s="6">
        <v>5.7636E-2</v>
      </c>
      <c r="N280" s="6">
        <v>4.2591999999999999E-4</v>
      </c>
      <c r="O280" s="6" t="s">
        <v>17</v>
      </c>
    </row>
    <row r="281" spans="1:15" ht="17" x14ac:dyDescent="0.35">
      <c r="A281" s="14">
        <v>122</v>
      </c>
      <c r="B281" s="11">
        <v>27.725000000000001</v>
      </c>
      <c r="C281" s="6">
        <v>17.634</v>
      </c>
      <c r="D281" s="6">
        <v>5.6708000000000001E-2</v>
      </c>
      <c r="E281" s="6">
        <v>-0.43478</v>
      </c>
      <c r="F281" s="6">
        <v>-0.27755999999999997</v>
      </c>
      <c r="G281" s="6">
        <v>109.62</v>
      </c>
      <c r="H281" s="6">
        <v>29.382000000000001</v>
      </c>
      <c r="I281" s="6">
        <v>163.71</v>
      </c>
      <c r="J281" s="6">
        <v>276.57</v>
      </c>
      <c r="K281" s="6">
        <v>0.19148000000000001</v>
      </c>
      <c r="L281" s="6">
        <v>34.491999999999997</v>
      </c>
      <c r="M281" s="6">
        <v>5.7520000000000002E-2</v>
      </c>
      <c r="N281" s="6">
        <v>4.1679999999999999E-4</v>
      </c>
      <c r="O281" s="6" t="s">
        <v>17</v>
      </c>
    </row>
    <row r="282" spans="1:15" ht="17" x14ac:dyDescent="0.35">
      <c r="A282" s="14">
        <v>122.07</v>
      </c>
      <c r="B282" s="11">
        <v>27.824999999999999</v>
      </c>
      <c r="C282" s="6">
        <v>17.591000000000001</v>
      </c>
      <c r="D282" s="6">
        <v>5.6848000000000003E-2</v>
      </c>
      <c r="E282" s="6">
        <v>-0.42682999999999999</v>
      </c>
      <c r="F282" s="6">
        <v>-0.26865</v>
      </c>
      <c r="G282" s="6">
        <v>109.68</v>
      </c>
      <c r="H282" s="6">
        <v>29.437999999999999</v>
      </c>
      <c r="I282" s="6">
        <v>165.78</v>
      </c>
      <c r="J282" s="6">
        <v>274.95</v>
      </c>
      <c r="K282" s="6">
        <v>0.19384000000000001</v>
      </c>
      <c r="L282" s="6">
        <v>34.338000000000001</v>
      </c>
      <c r="M282" s="6">
        <v>5.7404999999999998E-2</v>
      </c>
      <c r="N282" s="6">
        <v>4.0774000000000002E-4</v>
      </c>
      <c r="O282" s="6" t="s">
        <v>17</v>
      </c>
    </row>
    <row r="283" spans="1:15" ht="17" x14ac:dyDescent="0.35">
      <c r="A283" s="14">
        <v>122.15</v>
      </c>
      <c r="B283" s="11">
        <v>27.925000000000001</v>
      </c>
      <c r="C283" s="6">
        <v>17.547000000000001</v>
      </c>
      <c r="D283" s="6">
        <v>5.6989999999999999E-2</v>
      </c>
      <c r="E283" s="6">
        <v>-0.41885</v>
      </c>
      <c r="F283" s="6">
        <v>-0.25971</v>
      </c>
      <c r="G283" s="6">
        <v>109.75</v>
      </c>
      <c r="H283" s="6">
        <v>29.495999999999999</v>
      </c>
      <c r="I283" s="6">
        <v>167.91</v>
      </c>
      <c r="J283" s="6">
        <v>273.32</v>
      </c>
      <c r="K283" s="6">
        <v>0.19622999999999999</v>
      </c>
      <c r="L283" s="6">
        <v>34.183999999999997</v>
      </c>
      <c r="M283" s="6">
        <v>5.7292000000000003E-2</v>
      </c>
      <c r="N283" s="6">
        <v>3.9874000000000002E-4</v>
      </c>
      <c r="O283" s="6" t="s">
        <v>17</v>
      </c>
    </row>
    <row r="284" spans="1:15" ht="17" x14ac:dyDescent="0.35">
      <c r="A284" s="14">
        <v>122.22</v>
      </c>
      <c r="B284" s="11">
        <v>28.024999999999999</v>
      </c>
      <c r="C284" s="6">
        <v>17.503</v>
      </c>
      <c r="D284" s="6">
        <v>5.7133999999999997E-2</v>
      </c>
      <c r="E284" s="6">
        <v>-0.41083999999999998</v>
      </c>
      <c r="F284" s="6">
        <v>-0.25072</v>
      </c>
      <c r="G284" s="6">
        <v>109.82</v>
      </c>
      <c r="H284" s="6">
        <v>29.555</v>
      </c>
      <c r="I284" s="6">
        <v>170.12</v>
      </c>
      <c r="J284" s="6">
        <v>271.68</v>
      </c>
      <c r="K284" s="6">
        <v>0.19867000000000001</v>
      </c>
      <c r="L284" s="6">
        <v>34.03</v>
      </c>
      <c r="M284" s="6">
        <v>5.7181999999999997E-2</v>
      </c>
      <c r="N284" s="6">
        <v>3.8980999999999998E-4</v>
      </c>
      <c r="O284" s="6" t="s">
        <v>17</v>
      </c>
    </row>
    <row r="285" spans="1:15" ht="17" x14ac:dyDescent="0.35">
      <c r="A285" s="14">
        <v>122.29</v>
      </c>
      <c r="B285" s="11">
        <v>28.125</v>
      </c>
      <c r="C285" s="6">
        <v>17.457999999999998</v>
      </c>
      <c r="D285" s="6">
        <v>5.7278999999999997E-2</v>
      </c>
      <c r="E285" s="6">
        <v>-0.40279999999999999</v>
      </c>
      <c r="F285" s="6">
        <v>-0.2417</v>
      </c>
      <c r="G285" s="6">
        <v>109.89</v>
      </c>
      <c r="H285" s="6">
        <v>29.614999999999998</v>
      </c>
      <c r="I285" s="6">
        <v>172.41</v>
      </c>
      <c r="J285" s="6">
        <v>270.04000000000002</v>
      </c>
      <c r="K285" s="6">
        <v>0.20115</v>
      </c>
      <c r="L285" s="6">
        <v>33.875</v>
      </c>
      <c r="M285" s="6">
        <v>5.7072999999999999E-2</v>
      </c>
      <c r="N285" s="6">
        <v>3.8095000000000002E-4</v>
      </c>
      <c r="O285" s="6" t="s">
        <v>17</v>
      </c>
    </row>
    <row r="286" spans="1:15" ht="17" x14ac:dyDescent="0.35">
      <c r="A286" s="14">
        <v>122.36</v>
      </c>
      <c r="B286" s="11">
        <v>28.225000000000001</v>
      </c>
      <c r="C286" s="6">
        <v>17.414000000000001</v>
      </c>
      <c r="D286" s="6">
        <v>5.7425999999999998E-2</v>
      </c>
      <c r="E286" s="6">
        <v>-0.39472000000000002</v>
      </c>
      <c r="F286" s="6">
        <v>-0.23263</v>
      </c>
      <c r="G286" s="6">
        <v>109.96</v>
      </c>
      <c r="H286" s="6">
        <v>29.677</v>
      </c>
      <c r="I286" s="6">
        <v>174.78</v>
      </c>
      <c r="J286" s="6">
        <v>268.39</v>
      </c>
      <c r="K286" s="6">
        <v>0.20366000000000001</v>
      </c>
      <c r="L286" s="6">
        <v>33.72</v>
      </c>
      <c r="M286" s="6">
        <v>5.6966000000000003E-2</v>
      </c>
      <c r="N286" s="6">
        <v>3.7215000000000002E-4</v>
      </c>
      <c r="O286" s="6" t="s">
        <v>17</v>
      </c>
    </row>
    <row r="287" spans="1:15" ht="17" x14ac:dyDescent="0.35">
      <c r="A287" s="14">
        <v>122.44</v>
      </c>
      <c r="B287" s="11">
        <v>28.324999999999999</v>
      </c>
      <c r="C287" s="6">
        <v>17.367999999999999</v>
      </c>
      <c r="D287" s="6">
        <v>5.7576000000000002E-2</v>
      </c>
      <c r="E287" s="6">
        <v>-0.3866</v>
      </c>
      <c r="F287" s="6">
        <v>-0.22350999999999999</v>
      </c>
      <c r="G287" s="6">
        <v>110.03</v>
      </c>
      <c r="H287" s="6">
        <v>29.741</v>
      </c>
      <c r="I287" s="6">
        <v>177.23</v>
      </c>
      <c r="J287" s="6">
        <v>266.73</v>
      </c>
      <c r="K287" s="6">
        <v>0.20621999999999999</v>
      </c>
      <c r="L287" s="6">
        <v>33.564</v>
      </c>
      <c r="M287" s="6">
        <v>5.6861000000000002E-2</v>
      </c>
      <c r="N287" s="6">
        <v>3.6340999999999999E-4</v>
      </c>
      <c r="O287" s="6" t="s">
        <v>17</v>
      </c>
    </row>
    <row r="288" spans="1:15" ht="17" x14ac:dyDescent="0.35">
      <c r="A288" s="14">
        <v>122.51</v>
      </c>
      <c r="B288" s="11">
        <v>28.425000000000001</v>
      </c>
      <c r="C288" s="6">
        <v>17.323</v>
      </c>
      <c r="D288" s="6">
        <v>5.7727000000000001E-2</v>
      </c>
      <c r="E288" s="6">
        <v>-0.37844</v>
      </c>
      <c r="F288" s="6">
        <v>-0.21435000000000001</v>
      </c>
      <c r="G288" s="6">
        <v>110.1</v>
      </c>
      <c r="H288" s="6">
        <v>29.806999999999999</v>
      </c>
      <c r="I288" s="6">
        <v>179.77</v>
      </c>
      <c r="J288" s="6">
        <v>265.06</v>
      </c>
      <c r="K288" s="6">
        <v>0.20882000000000001</v>
      </c>
      <c r="L288" s="6">
        <v>33.408000000000001</v>
      </c>
      <c r="M288" s="6">
        <v>5.6758000000000003E-2</v>
      </c>
      <c r="N288" s="6">
        <v>3.5474999999999998E-4</v>
      </c>
      <c r="O288" s="6" t="s">
        <v>17</v>
      </c>
    </row>
    <row r="289" spans="1:15" ht="17" x14ac:dyDescent="0.35">
      <c r="A289" s="14">
        <v>122.58</v>
      </c>
      <c r="B289" s="11">
        <v>28.524999999999999</v>
      </c>
      <c r="C289" s="6">
        <v>17.277000000000001</v>
      </c>
      <c r="D289" s="6">
        <v>5.7880000000000001E-2</v>
      </c>
      <c r="E289" s="6">
        <v>-0.37025000000000002</v>
      </c>
      <c r="F289" s="6">
        <v>-0.20513999999999999</v>
      </c>
      <c r="G289" s="6">
        <v>110.17</v>
      </c>
      <c r="H289" s="6">
        <v>29.875</v>
      </c>
      <c r="I289" s="6">
        <v>182.41</v>
      </c>
      <c r="J289" s="6">
        <v>263.39</v>
      </c>
      <c r="K289" s="6">
        <v>0.21146999999999999</v>
      </c>
      <c r="L289" s="6">
        <v>33.250999999999998</v>
      </c>
      <c r="M289" s="6">
        <v>5.6658E-2</v>
      </c>
      <c r="N289" s="6">
        <v>3.4613999999999999E-4</v>
      </c>
      <c r="O289" s="6" t="s">
        <v>17</v>
      </c>
    </row>
    <row r="290" spans="1:15" ht="17" x14ac:dyDescent="0.35">
      <c r="A290" s="14">
        <v>122.65</v>
      </c>
      <c r="B290" s="11">
        <v>28.625</v>
      </c>
      <c r="C290" s="6">
        <v>17.231000000000002</v>
      </c>
      <c r="D290" s="6">
        <v>5.8035999999999997E-2</v>
      </c>
      <c r="E290" s="6">
        <v>-0.36201</v>
      </c>
      <c r="F290" s="6">
        <v>-0.19588</v>
      </c>
      <c r="G290" s="6">
        <v>110.24</v>
      </c>
      <c r="H290" s="6">
        <v>29.943999999999999</v>
      </c>
      <c r="I290" s="6">
        <v>185.15</v>
      </c>
      <c r="J290" s="6">
        <v>261.70999999999998</v>
      </c>
      <c r="K290" s="6">
        <v>0.21415999999999999</v>
      </c>
      <c r="L290" s="6">
        <v>33.093000000000004</v>
      </c>
      <c r="M290" s="6">
        <v>5.6561E-2</v>
      </c>
      <c r="N290" s="6">
        <v>3.3761000000000002E-4</v>
      </c>
      <c r="O290" s="6" t="s">
        <v>17</v>
      </c>
    </row>
    <row r="291" spans="1:15" ht="17" x14ac:dyDescent="0.35">
      <c r="A291" s="14">
        <v>122.72</v>
      </c>
      <c r="B291" s="11">
        <v>28.725000000000001</v>
      </c>
      <c r="C291" s="6">
        <v>17.184000000000001</v>
      </c>
      <c r="D291" s="6">
        <v>5.8194000000000003E-2</v>
      </c>
      <c r="E291" s="6">
        <v>-0.35372999999999999</v>
      </c>
      <c r="F291" s="6">
        <v>-0.18657000000000001</v>
      </c>
      <c r="G291" s="6">
        <v>110.31</v>
      </c>
      <c r="H291" s="6">
        <v>30.015999999999998</v>
      </c>
      <c r="I291" s="6">
        <v>188</v>
      </c>
      <c r="J291" s="6">
        <v>260.02</v>
      </c>
      <c r="K291" s="6">
        <v>0.21690999999999999</v>
      </c>
      <c r="L291" s="6">
        <v>32.935000000000002</v>
      </c>
      <c r="M291" s="6">
        <v>5.6465000000000001E-2</v>
      </c>
      <c r="N291" s="6">
        <v>3.2914000000000001E-4</v>
      </c>
      <c r="O291" s="6" t="s">
        <v>17</v>
      </c>
    </row>
    <row r="292" spans="1:15" ht="17" x14ac:dyDescent="0.35">
      <c r="A292" s="14">
        <v>122.79</v>
      </c>
      <c r="B292" s="11">
        <v>28.824999999999999</v>
      </c>
      <c r="C292" s="6">
        <v>17.137</v>
      </c>
      <c r="D292" s="6">
        <v>5.8354000000000003E-2</v>
      </c>
      <c r="E292" s="6">
        <v>-0.34540999999999999</v>
      </c>
      <c r="F292" s="6">
        <v>-0.1772</v>
      </c>
      <c r="G292" s="6">
        <v>110.38</v>
      </c>
      <c r="H292" s="6">
        <v>30.09</v>
      </c>
      <c r="I292" s="6">
        <v>190.96</v>
      </c>
      <c r="J292" s="6">
        <v>258.32</v>
      </c>
      <c r="K292" s="6">
        <v>0.21970000000000001</v>
      </c>
      <c r="L292" s="6">
        <v>32.776000000000003</v>
      </c>
      <c r="M292" s="6">
        <v>5.6372999999999999E-2</v>
      </c>
      <c r="N292" s="6">
        <v>3.2074000000000002E-4</v>
      </c>
      <c r="O292" s="6" t="s">
        <v>17</v>
      </c>
    </row>
    <row r="293" spans="1:15" ht="17" x14ac:dyDescent="0.35">
      <c r="A293" s="14">
        <v>122.86</v>
      </c>
      <c r="B293" s="11">
        <v>28.925000000000001</v>
      </c>
      <c r="C293" s="6">
        <v>17.088999999999999</v>
      </c>
      <c r="D293" s="6">
        <v>5.8517E-2</v>
      </c>
      <c r="E293" s="6">
        <v>-0.33704000000000001</v>
      </c>
      <c r="F293" s="6">
        <v>-0.16778000000000001</v>
      </c>
      <c r="G293" s="6">
        <v>110.46</v>
      </c>
      <c r="H293" s="6">
        <v>30.164999999999999</v>
      </c>
      <c r="I293" s="6">
        <v>194.04</v>
      </c>
      <c r="J293" s="6">
        <v>256.61</v>
      </c>
      <c r="K293" s="6">
        <v>0.22253999999999999</v>
      </c>
      <c r="L293" s="6">
        <v>32.616999999999997</v>
      </c>
      <c r="M293" s="6">
        <v>5.6283E-2</v>
      </c>
      <c r="N293" s="6">
        <v>3.124E-4</v>
      </c>
      <c r="O293" s="6" t="s">
        <v>17</v>
      </c>
    </row>
    <row r="294" spans="1:15" ht="17" x14ac:dyDescent="0.35">
      <c r="A294" s="14">
        <v>122.94</v>
      </c>
      <c r="B294" s="11">
        <v>29.024999999999999</v>
      </c>
      <c r="C294" s="6">
        <v>17.041</v>
      </c>
      <c r="D294" s="6">
        <v>5.8681999999999998E-2</v>
      </c>
      <c r="E294" s="6">
        <v>-0.32862000000000002</v>
      </c>
      <c r="F294" s="6">
        <v>-0.1583</v>
      </c>
      <c r="G294" s="6">
        <v>110.53</v>
      </c>
      <c r="H294" s="6">
        <v>30.244</v>
      </c>
      <c r="I294" s="6">
        <v>197.25</v>
      </c>
      <c r="J294" s="6">
        <v>254.89</v>
      </c>
      <c r="K294" s="6">
        <v>0.22542999999999999</v>
      </c>
      <c r="L294" s="6">
        <v>32.457000000000001</v>
      </c>
      <c r="M294" s="6">
        <v>5.6196999999999997E-2</v>
      </c>
      <c r="N294" s="6">
        <v>3.0413E-4</v>
      </c>
      <c r="O294" s="6" t="s">
        <v>17</v>
      </c>
    </row>
    <row r="295" spans="1:15" ht="17" x14ac:dyDescent="0.35">
      <c r="A295" s="14">
        <v>123.01</v>
      </c>
      <c r="B295" s="11">
        <v>29.125</v>
      </c>
      <c r="C295" s="6">
        <v>16.992999999999999</v>
      </c>
      <c r="D295" s="6">
        <v>5.8848999999999999E-2</v>
      </c>
      <c r="E295" s="6">
        <v>-0.32016</v>
      </c>
      <c r="F295" s="6">
        <v>-0.14876</v>
      </c>
      <c r="G295" s="6">
        <v>110.6</v>
      </c>
      <c r="H295" s="6">
        <v>30.324000000000002</v>
      </c>
      <c r="I295" s="6">
        <v>200.59</v>
      </c>
      <c r="J295" s="6">
        <v>253.16</v>
      </c>
      <c r="K295" s="6">
        <v>0.22838</v>
      </c>
      <c r="L295" s="6">
        <v>32.295999999999999</v>
      </c>
      <c r="M295" s="6">
        <v>5.6113000000000003E-2</v>
      </c>
      <c r="N295" s="6">
        <v>2.9593000000000002E-4</v>
      </c>
      <c r="O295" s="6" t="s">
        <v>17</v>
      </c>
    </row>
    <row r="296" spans="1:15" ht="17" x14ac:dyDescent="0.35">
      <c r="A296" s="14">
        <v>123.08</v>
      </c>
      <c r="B296" s="11">
        <v>29.225000000000001</v>
      </c>
      <c r="C296" s="6">
        <v>16.943999999999999</v>
      </c>
      <c r="D296" s="6">
        <v>5.9020000000000003E-2</v>
      </c>
      <c r="E296" s="6">
        <v>-0.31163999999999997</v>
      </c>
      <c r="F296" s="6">
        <v>-0.13915</v>
      </c>
      <c r="G296" s="6">
        <v>110.67</v>
      </c>
      <c r="H296" s="6">
        <v>30.407</v>
      </c>
      <c r="I296" s="6">
        <v>204.08</v>
      </c>
      <c r="J296" s="6">
        <v>251.42</v>
      </c>
      <c r="K296" s="6">
        <v>0.23138</v>
      </c>
      <c r="L296" s="6">
        <v>32.134</v>
      </c>
      <c r="M296" s="6">
        <v>5.6032999999999999E-2</v>
      </c>
      <c r="N296" s="6">
        <v>2.878E-4</v>
      </c>
      <c r="O296" s="6" t="s">
        <v>17</v>
      </c>
    </row>
    <row r="297" spans="1:15" ht="17" x14ac:dyDescent="0.35">
      <c r="A297" s="14">
        <v>123.15</v>
      </c>
      <c r="B297" s="11">
        <v>29.324999999999999</v>
      </c>
      <c r="C297" s="6">
        <v>16.893999999999998</v>
      </c>
      <c r="D297" s="6">
        <v>5.9193000000000003E-2</v>
      </c>
      <c r="E297" s="6">
        <v>-0.30306</v>
      </c>
      <c r="F297" s="6">
        <v>-0.12948000000000001</v>
      </c>
      <c r="G297" s="6">
        <v>110.75</v>
      </c>
      <c r="H297" s="6">
        <v>30.492999999999999</v>
      </c>
      <c r="I297" s="6">
        <v>207.72</v>
      </c>
      <c r="J297" s="6">
        <v>249.67</v>
      </c>
      <c r="K297" s="6">
        <v>0.23444000000000001</v>
      </c>
      <c r="L297" s="6">
        <v>31.971</v>
      </c>
      <c r="M297" s="6">
        <v>5.5955999999999999E-2</v>
      </c>
      <c r="N297" s="6">
        <v>2.7973000000000001E-4</v>
      </c>
      <c r="O297" s="6" t="s">
        <v>17</v>
      </c>
    </row>
    <row r="298" spans="1:15" ht="17" x14ac:dyDescent="0.35">
      <c r="A298" s="14">
        <v>123.22</v>
      </c>
      <c r="B298" s="11">
        <v>29.425000000000001</v>
      </c>
      <c r="C298" s="6">
        <v>16.844000000000001</v>
      </c>
      <c r="D298" s="6">
        <v>5.9368999999999998E-2</v>
      </c>
      <c r="E298" s="6">
        <v>-0.29443000000000003</v>
      </c>
      <c r="F298" s="6">
        <v>-0.11974</v>
      </c>
      <c r="G298" s="6">
        <v>110.82</v>
      </c>
      <c r="H298" s="6">
        <v>30.581</v>
      </c>
      <c r="I298" s="6">
        <v>211.53</v>
      </c>
      <c r="J298" s="6">
        <v>247.91</v>
      </c>
      <c r="K298" s="6">
        <v>0.23757</v>
      </c>
      <c r="L298" s="6">
        <v>31.808</v>
      </c>
      <c r="M298" s="6">
        <v>5.5883000000000002E-2</v>
      </c>
      <c r="N298" s="6">
        <v>2.7172999999999998E-4</v>
      </c>
      <c r="O298" s="6" t="s">
        <v>17</v>
      </c>
    </row>
    <row r="299" spans="1:15" ht="17" x14ac:dyDescent="0.35">
      <c r="A299" s="14">
        <v>123.29</v>
      </c>
      <c r="B299" s="11">
        <v>29.524999999999999</v>
      </c>
      <c r="C299" s="6">
        <v>16.792999999999999</v>
      </c>
      <c r="D299" s="6">
        <v>5.9547999999999997E-2</v>
      </c>
      <c r="E299" s="6">
        <v>-0.28573999999999999</v>
      </c>
      <c r="F299" s="6">
        <v>-0.10992</v>
      </c>
      <c r="G299" s="6">
        <v>110.9</v>
      </c>
      <c r="H299" s="6">
        <v>30.672000000000001</v>
      </c>
      <c r="I299" s="6">
        <v>215.52</v>
      </c>
      <c r="J299" s="6">
        <v>246.14</v>
      </c>
      <c r="K299" s="6">
        <v>0.24074999999999999</v>
      </c>
      <c r="L299" s="6">
        <v>31.643999999999998</v>
      </c>
      <c r="M299" s="6">
        <v>5.5813000000000001E-2</v>
      </c>
      <c r="N299" s="6">
        <v>2.6380000000000002E-4</v>
      </c>
      <c r="O299" s="6" t="s">
        <v>17</v>
      </c>
    </row>
    <row r="300" spans="1:15" ht="17" x14ac:dyDescent="0.35">
      <c r="A300" s="14">
        <v>123.36</v>
      </c>
      <c r="B300" s="11">
        <v>29.625</v>
      </c>
      <c r="C300" s="6">
        <v>16.742000000000001</v>
      </c>
      <c r="D300" s="6">
        <v>5.9729999999999998E-2</v>
      </c>
      <c r="E300" s="6">
        <v>-0.27699000000000001</v>
      </c>
      <c r="F300" s="6">
        <v>-0.10004</v>
      </c>
      <c r="G300" s="6">
        <v>110.97</v>
      </c>
      <c r="H300" s="6">
        <v>30.766999999999999</v>
      </c>
      <c r="I300" s="6">
        <v>219.69</v>
      </c>
      <c r="J300" s="6">
        <v>244.36</v>
      </c>
      <c r="K300" s="6">
        <v>0.24399999999999999</v>
      </c>
      <c r="L300" s="6">
        <v>31.478000000000002</v>
      </c>
      <c r="M300" s="6">
        <v>5.5747999999999999E-2</v>
      </c>
      <c r="N300" s="6">
        <v>2.5594000000000002E-4</v>
      </c>
      <c r="O300" s="6" t="s">
        <v>17</v>
      </c>
    </row>
    <row r="301" spans="1:15" ht="17" x14ac:dyDescent="0.35">
      <c r="A301" s="14">
        <v>123.43</v>
      </c>
      <c r="B301" s="11">
        <v>29.725000000000001</v>
      </c>
      <c r="C301" s="6">
        <v>16.690000000000001</v>
      </c>
      <c r="D301" s="6">
        <v>5.9915000000000003E-2</v>
      </c>
      <c r="E301" s="6">
        <v>-0.26817000000000002</v>
      </c>
      <c r="F301" s="6">
        <v>-9.0068999999999996E-2</v>
      </c>
      <c r="G301" s="6">
        <v>111.05</v>
      </c>
      <c r="H301" s="6">
        <v>30.864000000000001</v>
      </c>
      <c r="I301" s="6">
        <v>224.07</v>
      </c>
      <c r="J301" s="6">
        <v>242.56</v>
      </c>
      <c r="K301" s="6">
        <v>0.24731</v>
      </c>
      <c r="L301" s="6">
        <v>31.312000000000001</v>
      </c>
      <c r="M301" s="6">
        <v>5.5685999999999999E-2</v>
      </c>
      <c r="N301" s="6">
        <v>2.4814999999999999E-4</v>
      </c>
      <c r="O301" s="6" t="s">
        <v>17</v>
      </c>
    </row>
    <row r="302" spans="1:15" ht="17" x14ac:dyDescent="0.35">
      <c r="A302" s="14">
        <v>123.5</v>
      </c>
      <c r="B302" s="11">
        <v>29.824999999999999</v>
      </c>
      <c r="C302" s="6">
        <v>16.638000000000002</v>
      </c>
      <c r="D302" s="6">
        <v>6.0103999999999998E-2</v>
      </c>
      <c r="E302" s="6">
        <v>-0.25928000000000001</v>
      </c>
      <c r="F302" s="6">
        <v>-8.0020999999999995E-2</v>
      </c>
      <c r="G302" s="6">
        <v>111.13</v>
      </c>
      <c r="H302" s="6">
        <v>30.965</v>
      </c>
      <c r="I302" s="6">
        <v>228.67</v>
      </c>
      <c r="J302" s="6">
        <v>240.75</v>
      </c>
      <c r="K302" s="6">
        <v>0.25069000000000002</v>
      </c>
      <c r="L302" s="6">
        <v>31.143999999999998</v>
      </c>
      <c r="M302" s="6">
        <v>5.5628999999999998E-2</v>
      </c>
      <c r="N302" s="6">
        <v>2.4043E-4</v>
      </c>
      <c r="O302" s="6" t="s">
        <v>17</v>
      </c>
    </row>
    <row r="303" spans="1:15" ht="17" x14ac:dyDescent="0.35">
      <c r="A303" s="14">
        <v>123.56</v>
      </c>
      <c r="B303" s="11">
        <v>29.925000000000001</v>
      </c>
      <c r="C303" s="6">
        <v>16.585000000000001</v>
      </c>
      <c r="D303" s="6">
        <v>6.0297000000000003E-2</v>
      </c>
      <c r="E303" s="6">
        <v>-0.25033</v>
      </c>
      <c r="F303" s="6">
        <v>-6.9887000000000005E-2</v>
      </c>
      <c r="G303" s="6">
        <v>111.2</v>
      </c>
      <c r="H303" s="6">
        <v>31.068999999999999</v>
      </c>
      <c r="I303" s="6">
        <v>233.5</v>
      </c>
      <c r="J303" s="6">
        <v>238.93</v>
      </c>
      <c r="K303" s="6">
        <v>0.25414999999999999</v>
      </c>
      <c r="L303" s="6">
        <v>30.975999999999999</v>
      </c>
      <c r="M303" s="6">
        <v>5.5577000000000001E-2</v>
      </c>
      <c r="N303" s="6">
        <v>2.3277000000000001E-4</v>
      </c>
      <c r="O303" s="6" t="s">
        <v>17</v>
      </c>
    </row>
    <row r="304" spans="1:15" ht="17" x14ac:dyDescent="0.35">
      <c r="A304" s="14">
        <v>123.63</v>
      </c>
      <c r="B304" s="11">
        <v>30.024999999999999</v>
      </c>
      <c r="C304" s="6">
        <v>16.530999999999999</v>
      </c>
      <c r="D304" s="6">
        <v>6.0492999999999998E-2</v>
      </c>
      <c r="E304" s="6">
        <v>-0.24129</v>
      </c>
      <c r="F304" s="6">
        <v>-5.9664000000000002E-2</v>
      </c>
      <c r="G304" s="6">
        <v>111.28</v>
      </c>
      <c r="H304" s="6">
        <v>31.177</v>
      </c>
      <c r="I304" s="6">
        <v>238.59</v>
      </c>
      <c r="J304" s="6">
        <v>237.1</v>
      </c>
      <c r="K304" s="6">
        <v>0.25768000000000002</v>
      </c>
      <c r="L304" s="6">
        <v>30.806000000000001</v>
      </c>
      <c r="M304" s="6">
        <v>5.5530000000000003E-2</v>
      </c>
      <c r="N304" s="6">
        <v>2.2519E-4</v>
      </c>
      <c r="O304" s="6" t="s">
        <v>17</v>
      </c>
    </row>
    <row r="305" spans="1:15" ht="17" x14ac:dyDescent="0.35">
      <c r="A305" s="14">
        <v>123.7</v>
      </c>
      <c r="B305" s="11">
        <v>30.125</v>
      </c>
      <c r="C305" s="6">
        <v>16.475999999999999</v>
      </c>
      <c r="D305" s="6">
        <v>6.0692999999999997E-2</v>
      </c>
      <c r="E305" s="6">
        <v>-0.23219000000000001</v>
      </c>
      <c r="F305" s="6">
        <v>-4.9348000000000003E-2</v>
      </c>
      <c r="G305" s="6">
        <v>111.36</v>
      </c>
      <c r="H305" s="6">
        <v>31.288</v>
      </c>
      <c r="I305" s="6">
        <v>243.95</v>
      </c>
      <c r="J305" s="6">
        <v>235.25</v>
      </c>
      <c r="K305" s="6">
        <v>0.26129000000000002</v>
      </c>
      <c r="L305" s="6">
        <v>30.635000000000002</v>
      </c>
      <c r="M305" s="6">
        <v>5.5487000000000002E-2</v>
      </c>
      <c r="N305" s="6">
        <v>2.1767999999999999E-4</v>
      </c>
      <c r="O305" s="6" t="s">
        <v>17</v>
      </c>
    </row>
    <row r="306" spans="1:15" ht="17" x14ac:dyDescent="0.35">
      <c r="A306" s="14">
        <v>123.77</v>
      </c>
      <c r="B306" s="11">
        <v>30.225000000000001</v>
      </c>
      <c r="C306" s="6">
        <v>16.420999999999999</v>
      </c>
      <c r="D306" s="6">
        <v>6.0897E-2</v>
      </c>
      <c r="E306" s="6">
        <v>-0.22298999999999999</v>
      </c>
      <c r="F306" s="6">
        <v>-3.8933000000000002E-2</v>
      </c>
      <c r="G306" s="6">
        <v>111.44</v>
      </c>
      <c r="H306" s="6">
        <v>31.404</v>
      </c>
      <c r="I306" s="6">
        <v>249.61</v>
      </c>
      <c r="J306" s="6">
        <v>233.39</v>
      </c>
      <c r="K306" s="6">
        <v>0.26496999999999998</v>
      </c>
      <c r="L306" s="6">
        <v>30.463000000000001</v>
      </c>
      <c r="M306" s="6">
        <v>5.5451E-2</v>
      </c>
      <c r="N306" s="6">
        <v>2.1023999999999999E-4</v>
      </c>
      <c r="O306" s="6" t="s">
        <v>17</v>
      </c>
    </row>
    <row r="307" spans="1:15" ht="17" x14ac:dyDescent="0.35">
      <c r="A307" s="14">
        <v>123.84</v>
      </c>
      <c r="B307" s="11">
        <v>30.324999999999999</v>
      </c>
      <c r="C307" s="6">
        <v>16.364999999999998</v>
      </c>
      <c r="D307" s="6">
        <v>6.1105E-2</v>
      </c>
      <c r="E307" s="6">
        <v>-0.21371999999999999</v>
      </c>
      <c r="F307" s="6">
        <v>-2.8414999999999999E-2</v>
      </c>
      <c r="G307" s="6">
        <v>111.52</v>
      </c>
      <c r="H307" s="6">
        <v>31.524000000000001</v>
      </c>
      <c r="I307" s="6">
        <v>255.59</v>
      </c>
      <c r="J307" s="6">
        <v>231.51</v>
      </c>
      <c r="K307" s="6">
        <v>0.26874999999999999</v>
      </c>
      <c r="L307" s="6">
        <v>30.29</v>
      </c>
      <c r="M307" s="6">
        <v>5.5419999999999997E-2</v>
      </c>
      <c r="N307" s="6">
        <v>2.0286999999999999E-4</v>
      </c>
      <c r="O307" s="6" t="s">
        <v>17</v>
      </c>
    </row>
    <row r="308" spans="1:15" ht="17" x14ac:dyDescent="0.35">
      <c r="A308" s="14">
        <v>123.91</v>
      </c>
      <c r="B308" s="11">
        <v>30.425000000000001</v>
      </c>
      <c r="C308" s="6">
        <v>16.309000000000001</v>
      </c>
      <c r="D308" s="6">
        <v>6.1317999999999998E-2</v>
      </c>
      <c r="E308" s="6">
        <v>-0.20435</v>
      </c>
      <c r="F308" s="6">
        <v>-1.7788999999999999E-2</v>
      </c>
      <c r="G308" s="6">
        <v>111.6</v>
      </c>
      <c r="H308" s="6">
        <v>31.649000000000001</v>
      </c>
      <c r="I308" s="6">
        <v>261.93</v>
      </c>
      <c r="J308" s="6">
        <v>229.61</v>
      </c>
      <c r="K308" s="6">
        <v>0.27260000000000001</v>
      </c>
      <c r="L308" s="6">
        <v>30.114999999999998</v>
      </c>
      <c r="M308" s="6">
        <v>5.5395E-2</v>
      </c>
      <c r="N308" s="6">
        <v>1.9557999999999999E-4</v>
      </c>
      <c r="O308" s="6" t="s">
        <v>17</v>
      </c>
    </row>
    <row r="309" spans="1:15" ht="17" x14ac:dyDescent="0.35">
      <c r="A309" s="14">
        <v>123.98</v>
      </c>
      <c r="B309" s="11">
        <v>30.524999999999999</v>
      </c>
      <c r="C309" s="6">
        <v>16.251000000000001</v>
      </c>
      <c r="D309" s="6">
        <v>6.1534999999999999E-2</v>
      </c>
      <c r="E309" s="6">
        <v>-0.19489000000000001</v>
      </c>
      <c r="F309" s="6">
        <v>-7.0496999999999999E-3</v>
      </c>
      <c r="G309" s="6">
        <v>111.68</v>
      </c>
      <c r="H309" s="6">
        <v>31.777999999999999</v>
      </c>
      <c r="I309" s="6">
        <v>268.64</v>
      </c>
      <c r="J309" s="6">
        <v>227.7</v>
      </c>
      <c r="K309" s="6">
        <v>0.27655000000000002</v>
      </c>
      <c r="L309" s="6">
        <v>29.937999999999999</v>
      </c>
      <c r="M309" s="6">
        <v>5.5377000000000003E-2</v>
      </c>
      <c r="N309" s="6">
        <v>1.8835999999999999E-4</v>
      </c>
      <c r="O309" s="6" t="s">
        <v>17</v>
      </c>
    </row>
    <row r="310" spans="1:15" ht="17" x14ac:dyDescent="0.35">
      <c r="A310" s="14">
        <v>124.04</v>
      </c>
      <c r="B310" s="11">
        <v>30.625</v>
      </c>
      <c r="C310" s="6">
        <v>16.192</v>
      </c>
      <c r="D310" s="6">
        <v>6.1758E-2</v>
      </c>
      <c r="E310" s="6">
        <v>-0.18532000000000001</v>
      </c>
      <c r="F310" s="6">
        <v>3.8095999999999998E-3</v>
      </c>
      <c r="G310" s="6">
        <v>111.76</v>
      </c>
      <c r="H310" s="6">
        <v>31.911999999999999</v>
      </c>
      <c r="I310" s="6">
        <v>275.77999999999997</v>
      </c>
      <c r="J310" s="6">
        <v>225.78</v>
      </c>
      <c r="K310" s="6">
        <v>0.28060000000000002</v>
      </c>
      <c r="L310" s="6">
        <v>29.76</v>
      </c>
      <c r="M310" s="6">
        <v>5.5365999999999999E-2</v>
      </c>
      <c r="N310" s="6">
        <v>1.8121000000000001E-4</v>
      </c>
      <c r="O310" s="6" t="s">
        <v>17</v>
      </c>
    </row>
    <row r="311" spans="1:15" ht="17" x14ac:dyDescent="0.35">
      <c r="A311" s="14">
        <v>124.11</v>
      </c>
      <c r="B311" s="11">
        <v>30.725000000000001</v>
      </c>
      <c r="C311" s="6">
        <v>16.132999999999999</v>
      </c>
      <c r="D311" s="6">
        <v>6.1984999999999998E-2</v>
      </c>
      <c r="E311" s="6">
        <v>-0.17566000000000001</v>
      </c>
      <c r="F311" s="6">
        <v>1.4795000000000001E-2</v>
      </c>
      <c r="G311" s="6">
        <v>111.85</v>
      </c>
      <c r="H311" s="6">
        <v>32.052</v>
      </c>
      <c r="I311" s="6">
        <v>283.37</v>
      </c>
      <c r="J311" s="6">
        <v>223.83</v>
      </c>
      <c r="K311" s="6">
        <v>0.28475</v>
      </c>
      <c r="L311" s="6">
        <v>29.58</v>
      </c>
      <c r="M311" s="6">
        <v>5.5363000000000002E-2</v>
      </c>
      <c r="N311" s="6">
        <v>1.7414000000000001E-4</v>
      </c>
      <c r="O311" s="6" t="s">
        <v>17</v>
      </c>
    </row>
    <row r="312" spans="1:15" ht="17" x14ac:dyDescent="0.35">
      <c r="A312" s="14">
        <v>124.18</v>
      </c>
      <c r="B312" s="11">
        <v>30.824999999999999</v>
      </c>
      <c r="C312" s="6">
        <v>16.071999999999999</v>
      </c>
      <c r="D312" s="6">
        <v>6.2218000000000002E-2</v>
      </c>
      <c r="E312" s="6">
        <v>-0.16588</v>
      </c>
      <c r="F312" s="6">
        <v>2.5914E-2</v>
      </c>
      <c r="G312" s="6">
        <v>111.93</v>
      </c>
      <c r="H312" s="6">
        <v>32.197000000000003</v>
      </c>
      <c r="I312" s="6">
        <v>291.47000000000003</v>
      </c>
      <c r="J312" s="6">
        <v>221.87</v>
      </c>
      <c r="K312" s="6">
        <v>0.28899000000000002</v>
      </c>
      <c r="L312" s="6">
        <v>29.399000000000001</v>
      </c>
      <c r="M312" s="6">
        <v>5.5367E-2</v>
      </c>
      <c r="N312" s="6">
        <v>1.6715E-4</v>
      </c>
      <c r="O312" s="6" t="s">
        <v>17</v>
      </c>
    </row>
    <row r="313" spans="1:15" ht="17" x14ac:dyDescent="0.35">
      <c r="A313" s="14">
        <v>124.25</v>
      </c>
      <c r="B313" s="11">
        <v>30.925000000000001</v>
      </c>
      <c r="C313" s="6">
        <v>16.010999999999999</v>
      </c>
      <c r="D313" s="6">
        <v>6.2456999999999999E-2</v>
      </c>
      <c r="E313" s="6">
        <v>-0.15598000000000001</v>
      </c>
      <c r="F313" s="6">
        <v>3.7172999999999998E-2</v>
      </c>
      <c r="G313" s="6">
        <v>112.02</v>
      </c>
      <c r="H313" s="6">
        <v>32.348999999999997</v>
      </c>
      <c r="I313" s="6">
        <v>300.13</v>
      </c>
      <c r="J313" s="6">
        <v>219.88</v>
      </c>
      <c r="K313" s="6">
        <v>0.29335</v>
      </c>
      <c r="L313" s="6">
        <v>29.215</v>
      </c>
      <c r="M313" s="6">
        <v>5.5379999999999999E-2</v>
      </c>
      <c r="N313" s="6">
        <v>1.6023E-4</v>
      </c>
      <c r="O313" s="6" t="s">
        <v>17</v>
      </c>
    </row>
    <row r="314" spans="1:15" ht="17" x14ac:dyDescent="0.35">
      <c r="A314" s="14">
        <v>124.31</v>
      </c>
      <c r="B314" s="11">
        <v>31.024999999999999</v>
      </c>
      <c r="C314" s="6">
        <v>15.948</v>
      </c>
      <c r="D314" s="6">
        <v>6.2701999999999994E-2</v>
      </c>
      <c r="E314" s="6">
        <v>-0.14595</v>
      </c>
      <c r="F314" s="6">
        <v>4.8580999999999999E-2</v>
      </c>
      <c r="G314" s="6">
        <v>112.1</v>
      </c>
      <c r="H314" s="6">
        <v>32.506999999999998</v>
      </c>
      <c r="I314" s="6">
        <v>309.39999999999998</v>
      </c>
      <c r="J314" s="6">
        <v>217.88</v>
      </c>
      <c r="K314" s="6">
        <v>0.29782999999999998</v>
      </c>
      <c r="L314" s="6">
        <v>29.03</v>
      </c>
      <c r="M314" s="6">
        <v>5.5402E-2</v>
      </c>
      <c r="N314" s="6">
        <v>1.5338999999999999E-4</v>
      </c>
      <c r="O314" s="6" t="s">
        <v>17</v>
      </c>
    </row>
    <row r="315" spans="1:15" ht="17" x14ac:dyDescent="0.35">
      <c r="A315" s="14">
        <v>124.38</v>
      </c>
      <c r="B315" s="11">
        <v>31.125</v>
      </c>
      <c r="C315" s="6">
        <v>15.885</v>
      </c>
      <c r="D315" s="6">
        <v>6.2953999999999996E-2</v>
      </c>
      <c r="E315" s="6">
        <v>-0.1358</v>
      </c>
      <c r="F315" s="6">
        <v>6.0146999999999999E-2</v>
      </c>
      <c r="G315" s="6">
        <v>112.19</v>
      </c>
      <c r="H315" s="6">
        <v>32.670999999999999</v>
      </c>
      <c r="I315" s="6">
        <v>319.35000000000002</v>
      </c>
      <c r="J315" s="6">
        <v>215.85</v>
      </c>
      <c r="K315" s="6">
        <v>0.30242000000000002</v>
      </c>
      <c r="L315" s="6">
        <v>28.841999999999999</v>
      </c>
      <c r="M315" s="6">
        <v>5.5434999999999998E-2</v>
      </c>
      <c r="N315" s="6">
        <v>1.4662E-4</v>
      </c>
      <c r="O315" s="6" t="s">
        <v>17</v>
      </c>
    </row>
    <row r="316" spans="1:15" ht="17" x14ac:dyDescent="0.35">
      <c r="A316" s="14">
        <v>124.45</v>
      </c>
      <c r="B316" s="11">
        <v>31.225000000000001</v>
      </c>
      <c r="C316" s="6">
        <v>15.82</v>
      </c>
      <c r="D316" s="6">
        <v>6.3213000000000005E-2</v>
      </c>
      <c r="E316" s="6">
        <v>-0.1255</v>
      </c>
      <c r="F316" s="6">
        <v>7.1881E-2</v>
      </c>
      <c r="G316" s="6">
        <v>112.28</v>
      </c>
      <c r="H316" s="6">
        <v>32.844000000000001</v>
      </c>
      <c r="I316" s="6">
        <v>330.06</v>
      </c>
      <c r="J316" s="6">
        <v>213.81</v>
      </c>
      <c r="K316" s="6">
        <v>0.30714000000000002</v>
      </c>
      <c r="L316" s="6">
        <v>28.652000000000001</v>
      </c>
      <c r="M316" s="6">
        <v>5.5478E-2</v>
      </c>
      <c r="N316" s="6">
        <v>1.3993999999999999E-4</v>
      </c>
      <c r="O316" s="6" t="s">
        <v>17</v>
      </c>
    </row>
    <row r="317" spans="1:15" ht="17" x14ac:dyDescent="0.35">
      <c r="A317" s="14">
        <v>124.51</v>
      </c>
      <c r="B317" s="11">
        <v>31.324999999999999</v>
      </c>
      <c r="C317" s="6">
        <v>15.753</v>
      </c>
      <c r="D317" s="6">
        <v>6.3478000000000007E-2</v>
      </c>
      <c r="E317" s="6">
        <v>-0.11505</v>
      </c>
      <c r="F317" s="6">
        <v>8.3793999999999993E-2</v>
      </c>
      <c r="G317" s="6">
        <v>112.37</v>
      </c>
      <c r="H317" s="6">
        <v>33.024000000000001</v>
      </c>
      <c r="I317" s="6">
        <v>341.63</v>
      </c>
      <c r="J317" s="6">
        <v>211.74</v>
      </c>
      <c r="K317" s="6">
        <v>0.31198999999999999</v>
      </c>
      <c r="L317" s="6">
        <v>28.46</v>
      </c>
      <c r="M317" s="6">
        <v>5.5531999999999998E-2</v>
      </c>
      <c r="N317" s="6">
        <v>1.3333999999999999E-4</v>
      </c>
      <c r="O317" s="6" t="s">
        <v>17</v>
      </c>
    </row>
    <row r="318" spans="1:15" ht="17" x14ac:dyDescent="0.35">
      <c r="A318" s="14">
        <v>124.58</v>
      </c>
      <c r="B318" s="11">
        <v>31.425000000000001</v>
      </c>
      <c r="C318" s="6">
        <v>15.686</v>
      </c>
      <c r="D318" s="6">
        <v>6.3752000000000003E-2</v>
      </c>
      <c r="E318" s="6">
        <v>-0.10445</v>
      </c>
      <c r="F318" s="6">
        <v>9.5896999999999996E-2</v>
      </c>
      <c r="G318" s="6">
        <v>112.46</v>
      </c>
      <c r="H318" s="6">
        <v>33.212000000000003</v>
      </c>
      <c r="I318" s="6">
        <v>354.15</v>
      </c>
      <c r="J318" s="6">
        <v>209.64</v>
      </c>
      <c r="K318" s="6">
        <v>0.31697999999999998</v>
      </c>
      <c r="L318" s="6">
        <v>28.265000000000001</v>
      </c>
      <c r="M318" s="6">
        <v>5.5599000000000003E-2</v>
      </c>
      <c r="N318" s="6">
        <v>1.2682000000000001E-4</v>
      </c>
      <c r="O318" s="6" t="s">
        <v>17</v>
      </c>
    </row>
    <row r="319" spans="1:15" ht="17" x14ac:dyDescent="0.35">
      <c r="A319" s="14">
        <v>124.64</v>
      </c>
      <c r="B319" s="11">
        <v>31.524999999999999</v>
      </c>
      <c r="C319" s="6">
        <v>15.617000000000001</v>
      </c>
      <c r="D319" s="6">
        <v>6.4034999999999995E-2</v>
      </c>
      <c r="E319" s="6">
        <v>-9.3667E-2</v>
      </c>
      <c r="F319" s="6">
        <v>0.1082</v>
      </c>
      <c r="G319" s="6">
        <v>112.56</v>
      </c>
      <c r="H319" s="6">
        <v>33.409999999999997</v>
      </c>
      <c r="I319" s="6">
        <v>367.75</v>
      </c>
      <c r="J319" s="6">
        <v>207.52</v>
      </c>
      <c r="K319" s="6">
        <v>0.32212000000000002</v>
      </c>
      <c r="L319" s="6">
        <v>28.067</v>
      </c>
      <c r="M319" s="6">
        <v>5.568E-2</v>
      </c>
      <c r="N319" s="6">
        <v>1.2039E-4</v>
      </c>
      <c r="O319" s="6" t="s">
        <v>17</v>
      </c>
    </row>
    <row r="320" spans="1:15" ht="17" x14ac:dyDescent="0.35">
      <c r="A320" s="14">
        <v>124.71</v>
      </c>
      <c r="B320" s="11">
        <v>31.625</v>
      </c>
      <c r="C320" s="6">
        <v>15.545999999999999</v>
      </c>
      <c r="D320" s="6">
        <v>6.4325999999999994E-2</v>
      </c>
      <c r="E320" s="6">
        <v>-8.2704E-2</v>
      </c>
      <c r="F320" s="6">
        <v>0.12073</v>
      </c>
      <c r="G320" s="6">
        <v>112.65</v>
      </c>
      <c r="H320" s="6">
        <v>33.618000000000002</v>
      </c>
      <c r="I320" s="6">
        <v>382.58</v>
      </c>
      <c r="J320" s="6">
        <v>205.37</v>
      </c>
      <c r="K320" s="6">
        <v>0.32741999999999999</v>
      </c>
      <c r="L320" s="6">
        <v>27.867000000000001</v>
      </c>
      <c r="M320" s="6">
        <v>5.5777E-2</v>
      </c>
      <c r="N320" s="6">
        <v>1.1404E-4</v>
      </c>
      <c r="O320" s="6" t="s">
        <v>17</v>
      </c>
    </row>
    <row r="321" spans="1:15" ht="17" x14ac:dyDescent="0.35">
      <c r="A321" s="14">
        <v>124.78</v>
      </c>
      <c r="B321" s="11">
        <v>31.725000000000001</v>
      </c>
      <c r="C321" s="6">
        <v>15.473000000000001</v>
      </c>
      <c r="D321" s="6">
        <v>6.4627000000000004E-2</v>
      </c>
      <c r="E321" s="6">
        <v>-7.1542999999999995E-2</v>
      </c>
      <c r="F321" s="6">
        <v>0.13349</v>
      </c>
      <c r="G321" s="6">
        <v>112.75</v>
      </c>
      <c r="H321" s="6">
        <v>33.835999999999999</v>
      </c>
      <c r="I321" s="6">
        <v>398.8</v>
      </c>
      <c r="J321" s="6">
        <v>203.2</v>
      </c>
      <c r="K321" s="6">
        <v>0.33288000000000001</v>
      </c>
      <c r="L321" s="6">
        <v>27.663</v>
      </c>
      <c r="M321" s="6">
        <v>5.5890000000000002E-2</v>
      </c>
      <c r="N321" s="6">
        <v>1.0777000000000001E-4</v>
      </c>
      <c r="O321" s="6" t="s">
        <v>17</v>
      </c>
    </row>
    <row r="322" spans="1:15" ht="17" x14ac:dyDescent="0.35">
      <c r="A322" s="14">
        <v>124.84</v>
      </c>
      <c r="B322" s="11">
        <v>31.824999999999999</v>
      </c>
      <c r="C322" s="6">
        <v>15.398999999999999</v>
      </c>
      <c r="D322" s="6">
        <v>6.4938999999999997E-2</v>
      </c>
      <c r="E322" s="6">
        <v>-6.0169E-2</v>
      </c>
      <c r="F322" s="6">
        <v>0.14649999999999999</v>
      </c>
      <c r="G322" s="6">
        <v>112.85</v>
      </c>
      <c r="H322" s="6">
        <v>34.066000000000003</v>
      </c>
      <c r="I322" s="6">
        <v>416.61</v>
      </c>
      <c r="J322" s="6">
        <v>200.99</v>
      </c>
      <c r="K322" s="6">
        <v>0.33853</v>
      </c>
      <c r="L322" s="6">
        <v>27.456</v>
      </c>
      <c r="M322" s="6">
        <v>5.6022000000000002E-2</v>
      </c>
      <c r="N322" s="6">
        <v>1.016E-4</v>
      </c>
      <c r="O322" s="6" t="s">
        <v>17</v>
      </c>
    </row>
    <row r="323" spans="1:15" ht="17" x14ac:dyDescent="0.35">
      <c r="A323" s="14">
        <v>124.91</v>
      </c>
      <c r="B323" s="11">
        <v>31.925000000000001</v>
      </c>
      <c r="C323" s="6">
        <v>15.323</v>
      </c>
      <c r="D323" s="6">
        <v>6.5262000000000001E-2</v>
      </c>
      <c r="E323" s="6">
        <v>-4.8564999999999997E-2</v>
      </c>
      <c r="F323" s="6">
        <v>0.15978000000000001</v>
      </c>
      <c r="G323" s="6">
        <v>112.95</v>
      </c>
      <c r="H323" s="6">
        <v>34.308</v>
      </c>
      <c r="I323" s="6">
        <v>436.27</v>
      </c>
      <c r="J323" s="6">
        <v>198.75</v>
      </c>
      <c r="K323" s="6">
        <v>0.34436</v>
      </c>
      <c r="L323" s="6">
        <v>27.245000000000001</v>
      </c>
      <c r="M323" s="6">
        <v>5.6174000000000002E-2</v>
      </c>
      <c r="N323" s="7">
        <v>9.5513000000000005E-5</v>
      </c>
      <c r="O323" s="6" t="s">
        <v>17</v>
      </c>
    </row>
    <row r="324" spans="1:15" ht="17" x14ac:dyDescent="0.35">
      <c r="A324" s="14">
        <v>124.97</v>
      </c>
      <c r="B324" s="11">
        <v>32.024999999999999</v>
      </c>
      <c r="C324" s="6">
        <v>15.244999999999999</v>
      </c>
      <c r="D324" s="6">
        <v>6.5597000000000003E-2</v>
      </c>
      <c r="E324" s="6">
        <v>-3.6711000000000001E-2</v>
      </c>
      <c r="F324" s="6">
        <v>0.17337</v>
      </c>
      <c r="G324" s="6">
        <v>113.05</v>
      </c>
      <c r="H324" s="6">
        <v>34.564</v>
      </c>
      <c r="I324" s="6">
        <v>458.08</v>
      </c>
      <c r="J324" s="6">
        <v>196.48</v>
      </c>
      <c r="K324" s="6">
        <v>0.35038999999999998</v>
      </c>
      <c r="L324" s="6">
        <v>27.03</v>
      </c>
      <c r="M324" s="6">
        <v>5.6349999999999997E-2</v>
      </c>
      <c r="N324" s="7">
        <v>8.9520999999999999E-5</v>
      </c>
      <c r="O324" s="6" t="s">
        <v>17</v>
      </c>
    </row>
    <row r="325" spans="1:15" ht="17" x14ac:dyDescent="0.35">
      <c r="A325" s="14">
        <v>125.04</v>
      </c>
      <c r="B325" s="11">
        <v>32.125</v>
      </c>
      <c r="C325" s="6">
        <v>15.164</v>
      </c>
      <c r="D325" s="6">
        <v>6.5946000000000005E-2</v>
      </c>
      <c r="E325" s="6">
        <v>-2.4584000000000002E-2</v>
      </c>
      <c r="F325" s="6">
        <v>0.18726999999999999</v>
      </c>
      <c r="G325" s="6">
        <v>113.16</v>
      </c>
      <c r="H325" s="6">
        <v>34.835999999999999</v>
      </c>
      <c r="I325" s="6">
        <v>482.39</v>
      </c>
      <c r="J325" s="6">
        <v>194.17</v>
      </c>
      <c r="K325" s="6">
        <v>0.35664000000000001</v>
      </c>
      <c r="L325" s="6">
        <v>26.811</v>
      </c>
      <c r="M325" s="6">
        <v>5.6551999999999998E-2</v>
      </c>
      <c r="N325" s="7">
        <v>8.3625E-5</v>
      </c>
      <c r="O325" s="6" t="s">
        <v>17</v>
      </c>
    </row>
    <row r="326" spans="1:15" ht="17" x14ac:dyDescent="0.35">
      <c r="A326" s="14">
        <v>125.1</v>
      </c>
      <c r="B326" s="11">
        <v>32.225000000000001</v>
      </c>
      <c r="C326" s="6">
        <v>15.081</v>
      </c>
      <c r="D326" s="6">
        <v>6.6309999999999994E-2</v>
      </c>
      <c r="E326" s="6">
        <v>-1.2159E-2</v>
      </c>
      <c r="F326" s="6">
        <v>0.20152999999999999</v>
      </c>
      <c r="G326" s="6">
        <v>113.27</v>
      </c>
      <c r="H326" s="6">
        <v>35.122999999999998</v>
      </c>
      <c r="I326" s="6">
        <v>509.67</v>
      </c>
      <c r="J326" s="6">
        <v>191.82</v>
      </c>
      <c r="K326" s="6">
        <v>0.36310999999999999</v>
      </c>
      <c r="L326" s="6">
        <v>26.587</v>
      </c>
      <c r="M326" s="6">
        <v>5.6785000000000002E-2</v>
      </c>
      <c r="N326" s="7">
        <v>7.7826999999999999E-5</v>
      </c>
      <c r="O326" s="6" t="s">
        <v>17</v>
      </c>
    </row>
    <row r="327" spans="1:15" ht="17" x14ac:dyDescent="0.35">
      <c r="A327" s="14">
        <v>125.17</v>
      </c>
      <c r="B327" s="11">
        <v>32.325000000000003</v>
      </c>
      <c r="C327" s="6">
        <v>14.994999999999999</v>
      </c>
      <c r="D327" s="6">
        <v>6.6689999999999999E-2</v>
      </c>
      <c r="E327" s="6">
        <v>5.9363000000000005E-4</v>
      </c>
      <c r="F327" s="6">
        <v>0.21617</v>
      </c>
      <c r="G327" s="6">
        <v>113.38</v>
      </c>
      <c r="H327" s="6">
        <v>35.429000000000002</v>
      </c>
      <c r="I327" s="6">
        <v>540.48</v>
      </c>
      <c r="J327" s="6">
        <v>189.43</v>
      </c>
      <c r="K327" s="6">
        <v>0.36984</v>
      </c>
      <c r="L327" s="6">
        <v>26.358000000000001</v>
      </c>
      <c r="M327" s="6">
        <v>5.7053E-2</v>
      </c>
      <c r="N327" s="7">
        <v>7.2129E-5</v>
      </c>
      <c r="O327" s="6" t="s">
        <v>17</v>
      </c>
    </row>
    <row r="328" spans="1:15" ht="17" x14ac:dyDescent="0.35">
      <c r="A328" s="14">
        <v>125.23</v>
      </c>
      <c r="B328" s="11">
        <v>32.424999999999997</v>
      </c>
      <c r="C328" s="6">
        <v>14.906000000000001</v>
      </c>
      <c r="D328" s="6">
        <v>6.7087999999999995E-2</v>
      </c>
      <c r="E328" s="6">
        <v>1.3709000000000001E-2</v>
      </c>
      <c r="F328" s="6">
        <v>0.23124</v>
      </c>
      <c r="G328" s="6">
        <v>113.49</v>
      </c>
      <c r="H328" s="6">
        <v>35.756</v>
      </c>
      <c r="I328" s="6">
        <v>575.54999999999995</v>
      </c>
      <c r="J328" s="6">
        <v>186.99</v>
      </c>
      <c r="K328" s="6">
        <v>0.37684000000000001</v>
      </c>
      <c r="L328" s="6">
        <v>26.123000000000001</v>
      </c>
      <c r="M328" s="6">
        <v>5.7362000000000003E-2</v>
      </c>
      <c r="N328" s="7">
        <v>6.6533999999999997E-5</v>
      </c>
      <c r="O328" s="6" t="s">
        <v>17</v>
      </c>
    </row>
    <row r="329" spans="1:15" ht="17" x14ac:dyDescent="0.35">
      <c r="A329" s="14">
        <v>125.29</v>
      </c>
      <c r="B329" s="11">
        <v>32.524999999999999</v>
      </c>
      <c r="C329" s="6">
        <v>14.813000000000001</v>
      </c>
      <c r="D329" s="6">
        <v>6.7506999999999998E-2</v>
      </c>
      <c r="E329" s="6">
        <v>2.7227999999999999E-2</v>
      </c>
      <c r="F329" s="6">
        <v>0.24679999999999999</v>
      </c>
      <c r="G329" s="6">
        <v>113.61</v>
      </c>
      <c r="H329" s="6">
        <v>36.104999999999997</v>
      </c>
      <c r="I329" s="6">
        <v>615.80999999999995</v>
      </c>
      <c r="J329" s="6">
        <v>184.51</v>
      </c>
      <c r="K329" s="6">
        <v>0.38413999999999998</v>
      </c>
      <c r="L329" s="6">
        <v>25.881</v>
      </c>
      <c r="M329" s="6">
        <v>5.7717999999999998E-2</v>
      </c>
      <c r="N329" s="7">
        <v>6.1048000000000002E-5</v>
      </c>
      <c r="O329" s="6" t="s">
        <v>17</v>
      </c>
    </row>
    <row r="330" spans="1:15" ht="17" x14ac:dyDescent="0.35">
      <c r="A330" s="14">
        <v>125.36</v>
      </c>
      <c r="B330" s="11">
        <v>32.625</v>
      </c>
      <c r="C330" s="6">
        <v>14.717000000000001</v>
      </c>
      <c r="D330" s="6">
        <v>6.7947999999999995E-2</v>
      </c>
      <c r="E330" s="6">
        <v>4.1199E-2</v>
      </c>
      <c r="F330" s="6">
        <v>0.26288</v>
      </c>
      <c r="G330" s="6">
        <v>113.74</v>
      </c>
      <c r="H330" s="6">
        <v>36.479999999999997</v>
      </c>
      <c r="I330" s="6">
        <v>662.49</v>
      </c>
      <c r="J330" s="6">
        <v>181.97</v>
      </c>
      <c r="K330" s="6">
        <v>0.39176</v>
      </c>
      <c r="L330" s="6">
        <v>25.632999999999999</v>
      </c>
      <c r="M330" s="6">
        <v>5.8132000000000003E-2</v>
      </c>
      <c r="N330" s="7">
        <v>5.5673E-5</v>
      </c>
      <c r="O330" s="6" t="s">
        <v>17</v>
      </c>
    </row>
    <row r="331" spans="1:15" ht="17" x14ac:dyDescent="0.35">
      <c r="A331" s="14">
        <v>125.42</v>
      </c>
      <c r="B331" s="11">
        <v>32.725000000000001</v>
      </c>
      <c r="C331" s="6">
        <v>14.617000000000001</v>
      </c>
      <c r="D331" s="6">
        <v>6.8415000000000004E-2</v>
      </c>
      <c r="E331" s="6">
        <v>5.5682000000000002E-2</v>
      </c>
      <c r="F331" s="6">
        <v>0.27956999999999999</v>
      </c>
      <c r="G331" s="6">
        <v>113.86</v>
      </c>
      <c r="H331" s="6">
        <v>36.884</v>
      </c>
      <c r="I331" s="6">
        <v>717.23</v>
      </c>
      <c r="J331" s="6">
        <v>179.38</v>
      </c>
      <c r="K331" s="6">
        <v>0.39972999999999997</v>
      </c>
      <c r="L331" s="6">
        <v>25.376999999999999</v>
      </c>
      <c r="M331" s="6">
        <v>5.8615E-2</v>
      </c>
      <c r="N331" s="7">
        <v>5.0414000000000002E-5</v>
      </c>
      <c r="O331" s="6" t="s">
        <v>17</v>
      </c>
    </row>
    <row r="332" spans="1:15" ht="17" x14ac:dyDescent="0.35">
      <c r="A332" s="14">
        <v>125.49</v>
      </c>
      <c r="B332" s="11">
        <v>32.825000000000003</v>
      </c>
      <c r="C332" s="6">
        <v>14.510999999999999</v>
      </c>
      <c r="D332" s="6">
        <v>6.8912000000000001E-2</v>
      </c>
      <c r="E332" s="6">
        <v>7.0746000000000003E-2</v>
      </c>
      <c r="F332" s="6">
        <v>0.29694999999999999</v>
      </c>
      <c r="G332" s="6">
        <v>114</v>
      </c>
      <c r="H332" s="6">
        <v>37.320999999999998</v>
      </c>
      <c r="I332" s="6">
        <v>782.27</v>
      </c>
      <c r="J332" s="6">
        <v>176.72</v>
      </c>
      <c r="K332" s="6">
        <v>0.40810000000000002</v>
      </c>
      <c r="L332" s="6">
        <v>25.111000000000001</v>
      </c>
      <c r="M332" s="6">
        <v>5.9184E-2</v>
      </c>
      <c r="N332" s="7">
        <v>4.5277E-5</v>
      </c>
      <c r="O332" s="6" t="s">
        <v>17</v>
      </c>
    </row>
    <row r="333" spans="1:15" ht="17" x14ac:dyDescent="0.35">
      <c r="A333" s="14">
        <v>125.55</v>
      </c>
      <c r="B333" s="11">
        <v>32.924999999999997</v>
      </c>
      <c r="C333" s="6">
        <v>14.4</v>
      </c>
      <c r="D333" s="6">
        <v>6.9442000000000004E-2</v>
      </c>
      <c r="E333" s="6">
        <v>8.6483000000000004E-2</v>
      </c>
      <c r="F333" s="6">
        <v>0.31512000000000001</v>
      </c>
      <c r="G333" s="6">
        <v>114.14</v>
      </c>
      <c r="H333" s="6">
        <v>37.795999999999999</v>
      </c>
      <c r="I333" s="6">
        <v>860.76</v>
      </c>
      <c r="J333" s="6">
        <v>173.99</v>
      </c>
      <c r="K333" s="6">
        <v>0.41689999999999999</v>
      </c>
      <c r="L333" s="6">
        <v>24.835000000000001</v>
      </c>
      <c r="M333" s="6">
        <v>5.9859999999999997E-2</v>
      </c>
      <c r="N333" s="7">
        <v>4.0268000000000001E-5</v>
      </c>
      <c r="O333" s="6" t="s">
        <v>17</v>
      </c>
    </row>
    <row r="334" spans="1:15" ht="17" x14ac:dyDescent="0.35">
      <c r="A334" s="14">
        <v>125.61</v>
      </c>
      <c r="B334" s="11">
        <v>33.024999999999999</v>
      </c>
      <c r="C334" s="6">
        <v>14.282999999999999</v>
      </c>
      <c r="D334" s="6">
        <v>7.0013000000000006E-2</v>
      </c>
      <c r="E334" s="6">
        <v>0.10301</v>
      </c>
      <c r="F334" s="6">
        <v>0.33423000000000003</v>
      </c>
      <c r="G334" s="6">
        <v>114.28</v>
      </c>
      <c r="H334" s="6">
        <v>38.316000000000003</v>
      </c>
      <c r="I334" s="6">
        <v>957.27</v>
      </c>
      <c r="J334" s="6">
        <v>171.18</v>
      </c>
      <c r="K334" s="6">
        <v>0.42620000000000002</v>
      </c>
      <c r="L334" s="6">
        <v>24.545999999999999</v>
      </c>
      <c r="M334" s="6">
        <v>6.0672999999999998E-2</v>
      </c>
      <c r="N334" s="7">
        <v>3.5394E-5</v>
      </c>
      <c r="O334" s="6" t="s">
        <v>17</v>
      </c>
    </row>
    <row r="335" spans="1:15" ht="17" x14ac:dyDescent="0.35">
      <c r="A335" s="14">
        <v>125.68</v>
      </c>
      <c r="B335" s="11">
        <v>33.125</v>
      </c>
      <c r="C335" s="6">
        <v>14.157999999999999</v>
      </c>
      <c r="D335" s="6">
        <v>7.0632E-2</v>
      </c>
      <c r="E335" s="6">
        <v>0.12046</v>
      </c>
      <c r="F335" s="6">
        <v>0.35443000000000002</v>
      </c>
      <c r="G335" s="6">
        <v>114.44</v>
      </c>
      <c r="H335" s="6">
        <v>38.887999999999998</v>
      </c>
      <c r="I335" s="6">
        <v>1078.5999999999999</v>
      </c>
      <c r="J335" s="6">
        <v>168.28</v>
      </c>
      <c r="K335" s="6">
        <v>0.43606</v>
      </c>
      <c r="L335" s="6">
        <v>24.244</v>
      </c>
      <c r="M335" s="6">
        <v>6.1665999999999999E-2</v>
      </c>
      <c r="N335" s="7">
        <v>3.0663000000000001E-5</v>
      </c>
      <c r="O335" s="6" t="s">
        <v>17</v>
      </c>
    </row>
    <row r="336" spans="1:15" ht="17" x14ac:dyDescent="0.35">
      <c r="A336" s="14">
        <v>125.74</v>
      </c>
      <c r="B336" s="11">
        <v>33.225000000000001</v>
      </c>
      <c r="C336" s="6">
        <v>14.023999999999999</v>
      </c>
      <c r="D336" s="6">
        <v>7.1308999999999997E-2</v>
      </c>
      <c r="E336" s="6">
        <v>0.13905000000000001</v>
      </c>
      <c r="F336" s="6">
        <v>0.37597999999999998</v>
      </c>
      <c r="G336" s="6">
        <v>114.6</v>
      </c>
      <c r="H336" s="6">
        <v>39.524999999999999</v>
      </c>
      <c r="I336" s="6">
        <v>1235.7</v>
      </c>
      <c r="J336" s="6">
        <v>165.28</v>
      </c>
      <c r="K336" s="6">
        <v>0.44657999999999998</v>
      </c>
      <c r="L336" s="6">
        <v>23.922999999999998</v>
      </c>
      <c r="M336" s="6">
        <v>6.2904000000000002E-2</v>
      </c>
      <c r="N336" s="7">
        <v>2.6088000000000002E-5</v>
      </c>
      <c r="O336" s="6" t="s">
        <v>17</v>
      </c>
    </row>
    <row r="337" spans="1:15" ht="17" x14ac:dyDescent="0.35">
      <c r="A337" s="14">
        <v>125.8</v>
      </c>
      <c r="B337" s="11">
        <v>33.325000000000003</v>
      </c>
      <c r="C337" s="6">
        <v>13.878</v>
      </c>
      <c r="D337" s="6">
        <v>7.2058999999999998E-2</v>
      </c>
      <c r="E337" s="6">
        <v>0.15905</v>
      </c>
      <c r="F337" s="6">
        <v>0.39918999999999999</v>
      </c>
      <c r="G337" s="6">
        <v>114.78</v>
      </c>
      <c r="H337" s="6">
        <v>40.241</v>
      </c>
      <c r="I337" s="6">
        <v>1446.3</v>
      </c>
      <c r="J337" s="6">
        <v>162.16</v>
      </c>
      <c r="K337" s="6">
        <v>0.45788000000000001</v>
      </c>
      <c r="L337" s="6">
        <v>23.582000000000001</v>
      </c>
      <c r="M337" s="6">
        <v>6.4487000000000003E-2</v>
      </c>
      <c r="N337" s="7">
        <v>2.1679999999999999E-5</v>
      </c>
      <c r="O337" s="6" t="s">
        <v>17</v>
      </c>
    </row>
    <row r="338" spans="1:15" ht="17" x14ac:dyDescent="0.35">
      <c r="A338" s="14">
        <v>125.86</v>
      </c>
      <c r="B338" s="11">
        <v>33.424999999999997</v>
      </c>
      <c r="C338" s="6">
        <v>13.717000000000001</v>
      </c>
      <c r="D338" s="6">
        <v>7.2902999999999996E-2</v>
      </c>
      <c r="E338" s="6">
        <v>0.18085999999999999</v>
      </c>
      <c r="F338" s="6">
        <v>0.42453999999999997</v>
      </c>
      <c r="G338" s="6">
        <v>114.98</v>
      </c>
      <c r="H338" s="6">
        <v>41.055999999999997</v>
      </c>
      <c r="I338" s="6">
        <v>1742.6</v>
      </c>
      <c r="J338" s="6">
        <v>158.88999999999999</v>
      </c>
      <c r="K338" s="6">
        <v>0.47011999999999998</v>
      </c>
      <c r="L338" s="6">
        <v>23.212</v>
      </c>
      <c r="M338" s="6">
        <v>6.6584000000000004E-2</v>
      </c>
      <c r="N338" s="7">
        <v>1.7456999999999999E-5</v>
      </c>
      <c r="O338" s="6" t="s">
        <v>17</v>
      </c>
    </row>
    <row r="339" spans="1:15" ht="17" x14ac:dyDescent="0.35">
      <c r="A339" s="14">
        <v>125.93</v>
      </c>
      <c r="B339" s="11">
        <v>33.524999999999999</v>
      </c>
      <c r="C339" s="6">
        <v>13.536</v>
      </c>
      <c r="D339" s="6">
        <v>7.3875999999999997E-2</v>
      </c>
      <c r="E339" s="6">
        <v>0.20510999999999999</v>
      </c>
      <c r="F339" s="6">
        <v>0.45278000000000002</v>
      </c>
      <c r="G339" s="6">
        <v>115.2</v>
      </c>
      <c r="H339" s="6">
        <v>42.005000000000003</v>
      </c>
      <c r="I339" s="6">
        <v>2188.1</v>
      </c>
      <c r="J339" s="6">
        <v>155.43</v>
      </c>
      <c r="K339" s="6">
        <v>0.48355999999999999</v>
      </c>
      <c r="L339" s="6">
        <v>22.806000000000001</v>
      </c>
      <c r="M339" s="6">
        <v>6.9499000000000005E-2</v>
      </c>
      <c r="N339" s="7">
        <v>1.3441000000000001E-5</v>
      </c>
      <c r="O339" s="6" t="s">
        <v>17</v>
      </c>
    </row>
    <row r="340" spans="1:15" ht="17" x14ac:dyDescent="0.35">
      <c r="A340" s="14">
        <v>125.99</v>
      </c>
      <c r="B340" s="11">
        <v>33.625</v>
      </c>
      <c r="C340" s="6">
        <v>13.327</v>
      </c>
      <c r="D340" s="6">
        <v>7.5033000000000002E-2</v>
      </c>
      <c r="E340" s="6">
        <v>0.23288</v>
      </c>
      <c r="F340" s="6">
        <v>0.48518</v>
      </c>
      <c r="G340" s="6">
        <v>115.45</v>
      </c>
      <c r="H340" s="6">
        <v>43.139000000000003</v>
      </c>
      <c r="I340" s="6">
        <v>2927.4</v>
      </c>
      <c r="J340" s="6">
        <v>151.74</v>
      </c>
      <c r="K340" s="6">
        <v>0.49858000000000002</v>
      </c>
      <c r="L340" s="6">
        <v>22.347999999999999</v>
      </c>
      <c r="M340" s="6">
        <v>7.3857999999999993E-2</v>
      </c>
      <c r="N340" s="7">
        <v>9.6633999999999997E-6</v>
      </c>
      <c r="O340" s="6" t="s">
        <v>17</v>
      </c>
    </row>
    <row r="341" spans="1:15" ht="17" x14ac:dyDescent="0.35">
      <c r="A341" s="14">
        <v>126.05</v>
      </c>
      <c r="B341" s="11">
        <v>33.725000000000001</v>
      </c>
      <c r="C341" s="6">
        <v>13.074</v>
      </c>
      <c r="D341" s="6">
        <v>7.6489000000000001E-2</v>
      </c>
      <c r="E341" s="6">
        <v>0.26624999999999999</v>
      </c>
      <c r="F341" s="6">
        <v>0.52420999999999995</v>
      </c>
      <c r="G341" s="6">
        <v>115.75</v>
      </c>
      <c r="H341" s="6">
        <v>44.558</v>
      </c>
      <c r="I341" s="6">
        <v>4371.8999999999996</v>
      </c>
      <c r="J341" s="6">
        <v>147.72</v>
      </c>
      <c r="K341" s="6">
        <v>0.51593</v>
      </c>
      <c r="L341" s="6">
        <v>21.806999999999999</v>
      </c>
      <c r="M341" s="6">
        <v>8.1199999999999994E-2</v>
      </c>
      <c r="N341" s="7">
        <v>6.1738000000000001E-6</v>
      </c>
      <c r="O341" s="6" t="s">
        <v>17</v>
      </c>
    </row>
    <row r="342" spans="1:15" ht="17" x14ac:dyDescent="0.35">
      <c r="A342" s="14">
        <v>126.11</v>
      </c>
      <c r="B342" s="11">
        <v>33.825000000000003</v>
      </c>
      <c r="C342" s="6">
        <v>12.734</v>
      </c>
      <c r="D342" s="6">
        <v>7.8531000000000004E-2</v>
      </c>
      <c r="E342" s="6">
        <v>0.31052000000000002</v>
      </c>
      <c r="F342" s="6">
        <v>0.57615000000000005</v>
      </c>
      <c r="G342" s="6">
        <v>116.16</v>
      </c>
      <c r="H342" s="6">
        <v>46.49</v>
      </c>
      <c r="I342" s="6">
        <v>8288.7000000000007</v>
      </c>
      <c r="J342" s="6">
        <v>143.16</v>
      </c>
      <c r="K342" s="6">
        <v>0.53732999999999997</v>
      </c>
      <c r="L342" s="6">
        <v>21.11</v>
      </c>
      <c r="M342" s="6">
        <v>9.6884999999999999E-2</v>
      </c>
      <c r="N342" s="7">
        <v>3.0581E-6</v>
      </c>
      <c r="O342" s="6" t="s">
        <v>17</v>
      </c>
    </row>
    <row r="343" spans="1:15" ht="17" x14ac:dyDescent="0.35">
      <c r="A343" s="14">
        <v>126.17</v>
      </c>
      <c r="B343" s="11">
        <v>33.924999999999997</v>
      </c>
      <c r="C343" s="6">
        <v>12.111000000000001</v>
      </c>
      <c r="D343" s="6">
        <v>8.2568000000000003E-2</v>
      </c>
      <c r="E343" s="6">
        <v>0.39123000000000002</v>
      </c>
      <c r="F343" s="6">
        <v>0.67134000000000005</v>
      </c>
      <c r="G343" s="6">
        <v>116.91</v>
      </c>
      <c r="H343" s="6" t="s">
        <v>18</v>
      </c>
      <c r="I343" s="6" t="s">
        <v>18</v>
      </c>
      <c r="J343" s="6" t="s">
        <v>18</v>
      </c>
      <c r="K343" s="6">
        <v>0.57042000000000004</v>
      </c>
      <c r="L343" s="6">
        <v>19.911000000000001</v>
      </c>
      <c r="M343" s="6" t="s">
        <v>18</v>
      </c>
      <c r="N343" s="7">
        <v>5.3333999999999998E-7</v>
      </c>
      <c r="O343" s="6" t="s">
        <v>17</v>
      </c>
    </row>
    <row r="345" spans="1:15" ht="70.5" x14ac:dyDescent="0.35">
      <c r="A345" s="1" t="s">
        <v>19</v>
      </c>
    </row>
    <row r="346" spans="1:15" x14ac:dyDescent="0.35">
      <c r="A346" s="13"/>
    </row>
    <row r="347" spans="1:15" ht="52.5" x14ac:dyDescent="0.35">
      <c r="A347" s="2" t="s">
        <v>1</v>
      </c>
    </row>
    <row r="348" spans="1:15" ht="34" x14ac:dyDescent="0.35">
      <c r="A348" s="12" t="s">
        <v>2</v>
      </c>
      <c r="B348" s="10" t="s">
        <v>3</v>
      </c>
      <c r="C348" s="3" t="s">
        <v>4</v>
      </c>
      <c r="D348" s="3" t="s">
        <v>5</v>
      </c>
      <c r="E348" s="3" t="s">
        <v>6</v>
      </c>
      <c r="F348" s="3" t="s">
        <v>7</v>
      </c>
      <c r="G348" s="3" t="s">
        <v>8</v>
      </c>
      <c r="H348" s="3" t="s">
        <v>9</v>
      </c>
      <c r="I348" s="3" t="s">
        <v>10</v>
      </c>
      <c r="J348" s="3" t="s">
        <v>11</v>
      </c>
      <c r="K348" s="3" t="s">
        <v>12</v>
      </c>
      <c r="L348" s="3" t="s">
        <v>13</v>
      </c>
      <c r="M348" s="3" t="s">
        <v>14</v>
      </c>
      <c r="N348" s="3" t="s">
        <v>16</v>
      </c>
    </row>
    <row r="349" spans="1:15" ht="17" x14ac:dyDescent="0.35">
      <c r="A349" s="15">
        <v>63.151000000000003</v>
      </c>
      <c r="B349" s="16">
        <v>0.12520000000000001</v>
      </c>
      <c r="C349" s="4">
        <v>2.4070000000000001E-2</v>
      </c>
      <c r="D349" s="4">
        <v>41.545999999999999</v>
      </c>
      <c r="E349" s="4">
        <v>1.2945</v>
      </c>
      <c r="F349" s="4">
        <v>1.8147</v>
      </c>
      <c r="G349" s="4">
        <v>163.55000000000001</v>
      </c>
      <c r="H349" s="4">
        <v>21.007000000000001</v>
      </c>
      <c r="I349" s="4">
        <v>29.646999999999998</v>
      </c>
      <c r="J349" s="4">
        <v>161.11000000000001</v>
      </c>
      <c r="K349" s="4">
        <v>4.0717999999999996</v>
      </c>
      <c r="L349" s="4">
        <v>4.3762999999999996</v>
      </c>
      <c r="M349" s="4">
        <v>5.6208999999999999E-3</v>
      </c>
      <c r="N349" s="4" t="s">
        <v>20</v>
      </c>
    </row>
    <row r="350" spans="1:15" ht="17" x14ac:dyDescent="0.35">
      <c r="A350" s="15">
        <v>66.531999999999996</v>
      </c>
      <c r="B350" s="16">
        <v>0.22520000000000001</v>
      </c>
      <c r="C350" s="4">
        <v>4.1307999999999997E-2</v>
      </c>
      <c r="D350" s="4">
        <v>24.207999999999998</v>
      </c>
      <c r="E350" s="4">
        <v>1.3588</v>
      </c>
      <c r="F350" s="4">
        <v>1.9038999999999999</v>
      </c>
      <c r="G350" s="4">
        <v>160.11000000000001</v>
      </c>
      <c r="H350" s="4">
        <v>21.106999999999999</v>
      </c>
      <c r="I350" s="4">
        <v>29.923999999999999</v>
      </c>
      <c r="J350" s="4">
        <v>164.87</v>
      </c>
      <c r="K350" s="4">
        <v>3.6434000000000002</v>
      </c>
      <c r="L350" s="4">
        <v>4.6254</v>
      </c>
      <c r="M350" s="4">
        <v>5.9797000000000001E-3</v>
      </c>
      <c r="N350" s="4" t="s">
        <v>20</v>
      </c>
    </row>
    <row r="351" spans="1:15" ht="17" x14ac:dyDescent="0.35">
      <c r="A351" s="15">
        <v>68.861000000000004</v>
      </c>
      <c r="B351" s="16">
        <v>0.32519999999999999</v>
      </c>
      <c r="C351" s="4">
        <v>5.7897999999999998E-2</v>
      </c>
      <c r="D351" s="4">
        <v>17.271999999999998</v>
      </c>
      <c r="E351" s="4">
        <v>1.4016999999999999</v>
      </c>
      <c r="F351" s="4">
        <v>1.9633</v>
      </c>
      <c r="G351" s="4">
        <v>157.97999999999999</v>
      </c>
      <c r="H351" s="4">
        <v>21.19</v>
      </c>
      <c r="I351" s="4">
        <v>30.164999999999999</v>
      </c>
      <c r="J351" s="4">
        <v>167.29</v>
      </c>
      <c r="K351" s="4">
        <v>3.3942000000000001</v>
      </c>
      <c r="L351" s="4">
        <v>4.7984</v>
      </c>
      <c r="M351" s="4">
        <v>6.2306000000000002E-3</v>
      </c>
      <c r="N351" s="4" t="s">
        <v>20</v>
      </c>
    </row>
    <row r="352" spans="1:15" ht="17" x14ac:dyDescent="0.35">
      <c r="A352" s="15">
        <v>70.677000000000007</v>
      </c>
      <c r="B352" s="16">
        <v>0.42520000000000002</v>
      </c>
      <c r="C352" s="4">
        <v>7.4066999999999994E-2</v>
      </c>
      <c r="D352" s="4">
        <v>13.500999999999999</v>
      </c>
      <c r="E352" s="4">
        <v>1.4341999999999999</v>
      </c>
      <c r="F352" s="4">
        <v>2.0083000000000002</v>
      </c>
      <c r="G352" s="4">
        <v>156.44</v>
      </c>
      <c r="H352" s="4">
        <v>21.263999999999999</v>
      </c>
      <c r="I352" s="4">
        <v>30.385000000000002</v>
      </c>
      <c r="J352" s="4">
        <v>169.08</v>
      </c>
      <c r="K352" s="4">
        <v>3.2212000000000001</v>
      </c>
      <c r="L352" s="4">
        <v>4.9341999999999997</v>
      </c>
      <c r="M352" s="4">
        <v>6.4289000000000004E-3</v>
      </c>
      <c r="N352" s="4" t="s">
        <v>20</v>
      </c>
    </row>
    <row r="353" spans="1:14" ht="17" x14ac:dyDescent="0.35">
      <c r="A353" s="15">
        <v>72.183000000000007</v>
      </c>
      <c r="B353" s="16">
        <v>0.5252</v>
      </c>
      <c r="C353" s="4">
        <v>8.9928999999999995E-2</v>
      </c>
      <c r="D353" s="4">
        <v>11.12</v>
      </c>
      <c r="E353" s="4">
        <v>1.4605999999999999</v>
      </c>
      <c r="F353" s="4">
        <v>2.0446</v>
      </c>
      <c r="G353" s="4">
        <v>155.24</v>
      </c>
      <c r="H353" s="4">
        <v>21.331</v>
      </c>
      <c r="I353" s="4">
        <v>30.591000000000001</v>
      </c>
      <c r="J353" s="4">
        <v>170.49</v>
      </c>
      <c r="K353" s="4">
        <v>3.09</v>
      </c>
      <c r="L353" s="4">
        <v>5.0476999999999999</v>
      </c>
      <c r="M353" s="4">
        <v>6.5957000000000003E-3</v>
      </c>
      <c r="N353" s="4" t="s">
        <v>20</v>
      </c>
    </row>
    <row r="354" spans="1:14" ht="17" x14ac:dyDescent="0.35">
      <c r="A354" s="15">
        <v>73.480999999999995</v>
      </c>
      <c r="B354" s="16">
        <v>0.62519999999999998</v>
      </c>
      <c r="C354" s="4">
        <v>0.10555</v>
      </c>
      <c r="D354" s="4">
        <v>9.4739000000000004</v>
      </c>
      <c r="E354" s="4">
        <v>1.4827999999999999</v>
      </c>
      <c r="F354" s="4">
        <v>2.0750999999999999</v>
      </c>
      <c r="G354" s="4">
        <v>154.25</v>
      </c>
      <c r="H354" s="4">
        <v>21.393000000000001</v>
      </c>
      <c r="I354" s="4">
        <v>30.786999999999999</v>
      </c>
      <c r="J354" s="4">
        <v>171.65</v>
      </c>
      <c r="K354" s="4">
        <v>2.9851000000000001</v>
      </c>
      <c r="L354" s="4">
        <v>5.1460999999999997</v>
      </c>
      <c r="M354" s="4">
        <v>6.7409999999999996E-3</v>
      </c>
      <c r="N354" s="4" t="s">
        <v>20</v>
      </c>
    </row>
    <row r="355" spans="1:14" ht="17" x14ac:dyDescent="0.35">
      <c r="A355" s="15">
        <v>74.626000000000005</v>
      </c>
      <c r="B355" s="16">
        <v>0.72519999999999996</v>
      </c>
      <c r="C355" s="4">
        <v>0.12099</v>
      </c>
      <c r="D355" s="4">
        <v>8.2653999999999996</v>
      </c>
      <c r="E355" s="4">
        <v>1.502</v>
      </c>
      <c r="F355" s="4">
        <v>2.1013999999999999</v>
      </c>
      <c r="G355" s="4">
        <v>153.41</v>
      </c>
      <c r="H355" s="4">
        <v>21.452000000000002</v>
      </c>
      <c r="I355" s="4">
        <v>30.975000000000001</v>
      </c>
      <c r="J355" s="4">
        <v>172.64</v>
      </c>
      <c r="K355" s="4">
        <v>2.8980999999999999</v>
      </c>
      <c r="L355" s="4">
        <v>5.2333999999999996</v>
      </c>
      <c r="M355" s="4">
        <v>6.8709000000000001E-3</v>
      </c>
      <c r="N355" s="4" t="s">
        <v>20</v>
      </c>
    </row>
    <row r="356" spans="1:14" ht="17" x14ac:dyDescent="0.35">
      <c r="A356" s="15">
        <v>75.655000000000001</v>
      </c>
      <c r="B356" s="16">
        <v>0.82520000000000004</v>
      </c>
      <c r="C356" s="4">
        <v>0.13625999999999999</v>
      </c>
      <c r="D356" s="4">
        <v>7.3388999999999998</v>
      </c>
      <c r="E356" s="4">
        <v>1.5188999999999999</v>
      </c>
      <c r="F356" s="4">
        <v>2.1244999999999998</v>
      </c>
      <c r="G356" s="4">
        <v>152.68</v>
      </c>
      <c r="H356" s="4">
        <v>21.507999999999999</v>
      </c>
      <c r="I356" s="4">
        <v>31.157</v>
      </c>
      <c r="J356" s="4">
        <v>173.49</v>
      </c>
      <c r="K356" s="4">
        <v>2.8241000000000001</v>
      </c>
      <c r="L356" s="4">
        <v>5.3124000000000002</v>
      </c>
      <c r="M356" s="4">
        <v>6.9890999999999998E-3</v>
      </c>
      <c r="N356" s="4" t="s">
        <v>20</v>
      </c>
    </row>
    <row r="357" spans="1:14" ht="17" x14ac:dyDescent="0.35">
      <c r="A357" s="15">
        <v>76.591999999999999</v>
      </c>
      <c r="B357" s="16">
        <v>0.92520000000000002</v>
      </c>
      <c r="C357" s="4">
        <v>0.15140000000000001</v>
      </c>
      <c r="D357" s="4">
        <v>6.6048999999999998</v>
      </c>
      <c r="E357" s="4">
        <v>1.534</v>
      </c>
      <c r="F357" s="4">
        <v>2.1450999999999998</v>
      </c>
      <c r="G357" s="4">
        <v>152.04</v>
      </c>
      <c r="H357" s="4">
        <v>21.561</v>
      </c>
      <c r="I357" s="4">
        <v>31.332999999999998</v>
      </c>
      <c r="J357" s="4">
        <v>174.24</v>
      </c>
      <c r="K357" s="4">
        <v>2.7597999999999998</v>
      </c>
      <c r="L357" s="4">
        <v>5.3848000000000003</v>
      </c>
      <c r="M357" s="4">
        <v>7.0980000000000001E-3</v>
      </c>
      <c r="N357" s="4" t="s">
        <v>20</v>
      </c>
    </row>
    <row r="358" spans="1:14" ht="17" x14ac:dyDescent="0.35">
      <c r="A358" s="15">
        <v>77.454999999999998</v>
      </c>
      <c r="B358" s="16">
        <v>1.0251999999999999</v>
      </c>
      <c r="C358" s="4">
        <v>0.16642999999999999</v>
      </c>
      <c r="D358" s="4">
        <v>6.0084999999999997</v>
      </c>
      <c r="E358" s="4">
        <v>1.5476000000000001</v>
      </c>
      <c r="F358" s="4">
        <v>2.1636000000000002</v>
      </c>
      <c r="G358" s="4">
        <v>151.46</v>
      </c>
      <c r="H358" s="4">
        <v>21.611999999999998</v>
      </c>
      <c r="I358" s="4">
        <v>31.504999999999999</v>
      </c>
      <c r="J358" s="4">
        <v>174.9</v>
      </c>
      <c r="K358" s="4">
        <v>2.7031999999999998</v>
      </c>
      <c r="L358" s="4">
        <v>5.4518000000000004</v>
      </c>
      <c r="M358" s="4">
        <v>7.1992999999999996E-3</v>
      </c>
      <c r="N358" s="4" t="s">
        <v>20</v>
      </c>
    </row>
    <row r="359" spans="1:14" ht="17" x14ac:dyDescent="0.35">
      <c r="A359" s="15">
        <v>78.254999999999995</v>
      </c>
      <c r="B359" s="16">
        <v>1.1252</v>
      </c>
      <c r="C359" s="4">
        <v>0.18135999999999999</v>
      </c>
      <c r="D359" s="4">
        <v>5.5138999999999996</v>
      </c>
      <c r="E359" s="4">
        <v>1.56</v>
      </c>
      <c r="F359" s="4">
        <v>2.1804000000000001</v>
      </c>
      <c r="G359" s="4">
        <v>150.94</v>
      </c>
      <c r="H359" s="4">
        <v>21.661000000000001</v>
      </c>
      <c r="I359" s="4">
        <v>31.673999999999999</v>
      </c>
      <c r="J359" s="4">
        <v>175.49</v>
      </c>
      <c r="K359" s="4">
        <v>2.6526999999999998</v>
      </c>
      <c r="L359" s="4">
        <v>5.5143000000000004</v>
      </c>
      <c r="M359" s="4">
        <v>7.2944000000000004E-3</v>
      </c>
      <c r="N359" s="4" t="s">
        <v>20</v>
      </c>
    </row>
    <row r="360" spans="1:14" ht="17" x14ac:dyDescent="0.35">
      <c r="A360" s="15">
        <v>79.003</v>
      </c>
      <c r="B360" s="16">
        <v>1.2252000000000001</v>
      </c>
      <c r="C360" s="4">
        <v>0.19620000000000001</v>
      </c>
      <c r="D360" s="4">
        <v>5.0968</v>
      </c>
      <c r="E360" s="4">
        <v>1.5713999999999999</v>
      </c>
      <c r="F360" s="4">
        <v>2.1958000000000002</v>
      </c>
      <c r="G360" s="4">
        <v>150.46</v>
      </c>
      <c r="H360" s="4">
        <v>21.709</v>
      </c>
      <c r="I360" s="4">
        <v>31.84</v>
      </c>
      <c r="J360" s="4">
        <v>176.03</v>
      </c>
      <c r="K360" s="4">
        <v>2.6072000000000002</v>
      </c>
      <c r="L360" s="4">
        <v>5.5730000000000004</v>
      </c>
      <c r="M360" s="4">
        <v>7.3842999999999999E-3</v>
      </c>
      <c r="N360" s="4" t="s">
        <v>20</v>
      </c>
    </row>
    <row r="361" spans="1:14" ht="17" x14ac:dyDescent="0.35">
      <c r="A361" s="15">
        <v>79.706000000000003</v>
      </c>
      <c r="B361" s="16">
        <v>1.3251999999999999</v>
      </c>
      <c r="C361" s="4">
        <v>0.21096999999999999</v>
      </c>
      <c r="D361" s="4">
        <v>4.74</v>
      </c>
      <c r="E361" s="4">
        <v>1.5819000000000001</v>
      </c>
      <c r="F361" s="4">
        <v>2.21</v>
      </c>
      <c r="G361" s="4">
        <v>150.02000000000001</v>
      </c>
      <c r="H361" s="4">
        <v>21.756</v>
      </c>
      <c r="I361" s="4">
        <v>32.003</v>
      </c>
      <c r="J361" s="4">
        <v>176.52</v>
      </c>
      <c r="K361" s="4">
        <v>2.5659000000000001</v>
      </c>
      <c r="L361" s="4">
        <v>5.6284999999999998</v>
      </c>
      <c r="M361" s="4">
        <v>7.4698000000000004E-3</v>
      </c>
      <c r="N361" s="4" t="s">
        <v>20</v>
      </c>
    </row>
    <row r="362" spans="1:14" ht="17" x14ac:dyDescent="0.35">
      <c r="A362" s="15">
        <v>80.370999999999995</v>
      </c>
      <c r="B362" s="16">
        <v>1.4252</v>
      </c>
      <c r="C362" s="4">
        <v>0.22567000000000001</v>
      </c>
      <c r="D362" s="4">
        <v>4.4313000000000002</v>
      </c>
      <c r="E362" s="4">
        <v>1.5915999999999999</v>
      </c>
      <c r="F362" s="4">
        <v>2.2231000000000001</v>
      </c>
      <c r="G362" s="4">
        <v>149.61000000000001</v>
      </c>
      <c r="H362" s="4">
        <v>21.800999999999998</v>
      </c>
      <c r="I362" s="4">
        <v>32.164000000000001</v>
      </c>
      <c r="J362" s="4">
        <v>176.97</v>
      </c>
      <c r="K362" s="4">
        <v>2.528</v>
      </c>
      <c r="L362" s="4">
        <v>5.6810999999999998</v>
      </c>
      <c r="M362" s="4">
        <v>7.5513000000000004E-3</v>
      </c>
      <c r="N362" s="4" t="s">
        <v>20</v>
      </c>
    </row>
    <row r="363" spans="1:14" ht="17" x14ac:dyDescent="0.35">
      <c r="A363" s="15">
        <v>81</v>
      </c>
      <c r="B363" s="16">
        <v>1.5251999999999999</v>
      </c>
      <c r="C363" s="4">
        <v>0.24031</v>
      </c>
      <c r="D363" s="4">
        <v>4.1612999999999998</v>
      </c>
      <c r="E363" s="4">
        <v>1.6007</v>
      </c>
      <c r="F363" s="4">
        <v>2.2353999999999998</v>
      </c>
      <c r="G363" s="4">
        <v>149.22999999999999</v>
      </c>
      <c r="H363" s="4">
        <v>21.844999999999999</v>
      </c>
      <c r="I363" s="4">
        <v>32.323</v>
      </c>
      <c r="J363" s="4">
        <v>177.38</v>
      </c>
      <c r="K363" s="4">
        <v>2.4931000000000001</v>
      </c>
      <c r="L363" s="4">
        <v>5.7313000000000001</v>
      </c>
      <c r="M363" s="4">
        <v>7.6295E-3</v>
      </c>
      <c r="N363" s="4" t="s">
        <v>20</v>
      </c>
    </row>
    <row r="364" spans="1:14" ht="17" x14ac:dyDescent="0.35">
      <c r="A364" s="15">
        <v>81.599999999999994</v>
      </c>
      <c r="B364" s="16">
        <v>1.6252</v>
      </c>
      <c r="C364" s="4">
        <v>0.25490000000000002</v>
      </c>
      <c r="D364" s="4">
        <v>3.9232</v>
      </c>
      <c r="E364" s="4">
        <v>1.6092</v>
      </c>
      <c r="F364" s="4">
        <v>2.2467000000000001</v>
      </c>
      <c r="G364" s="4">
        <v>148.87</v>
      </c>
      <c r="H364" s="4">
        <v>21.888999999999999</v>
      </c>
      <c r="I364" s="4">
        <v>32.481000000000002</v>
      </c>
      <c r="J364" s="4">
        <v>177.76</v>
      </c>
      <c r="K364" s="4">
        <v>2.4607999999999999</v>
      </c>
      <c r="L364" s="4">
        <v>5.7793000000000001</v>
      </c>
      <c r="M364" s="4">
        <v>7.7047000000000001E-3</v>
      </c>
      <c r="N364" s="4" t="s">
        <v>20</v>
      </c>
    </row>
    <row r="365" spans="1:14" ht="17" x14ac:dyDescent="0.35">
      <c r="A365" s="15">
        <v>82.171999999999997</v>
      </c>
      <c r="B365" s="16">
        <v>1.7252000000000001</v>
      </c>
      <c r="C365" s="4">
        <v>0.26944000000000001</v>
      </c>
      <c r="D365" s="4">
        <v>3.7113999999999998</v>
      </c>
      <c r="E365" s="4">
        <v>1.6171</v>
      </c>
      <c r="F365" s="4">
        <v>2.2574000000000001</v>
      </c>
      <c r="G365" s="4">
        <v>148.54</v>
      </c>
      <c r="H365" s="4">
        <v>21.931000000000001</v>
      </c>
      <c r="I365" s="4">
        <v>32.637</v>
      </c>
      <c r="J365" s="4">
        <v>178.11</v>
      </c>
      <c r="K365" s="4">
        <v>2.4306999999999999</v>
      </c>
      <c r="L365" s="4">
        <v>5.8254000000000001</v>
      </c>
      <c r="M365" s="4">
        <v>7.7773E-3</v>
      </c>
      <c r="N365" s="4" t="s">
        <v>20</v>
      </c>
    </row>
    <row r="366" spans="1:14" ht="17" x14ac:dyDescent="0.35">
      <c r="A366" s="15">
        <v>82.72</v>
      </c>
      <c r="B366" s="16">
        <v>1.8251999999999999</v>
      </c>
      <c r="C366" s="4">
        <v>0.28394000000000003</v>
      </c>
      <c r="D366" s="4">
        <v>3.5219</v>
      </c>
      <c r="E366" s="4">
        <v>1.6246</v>
      </c>
      <c r="F366" s="4">
        <v>2.2673999999999999</v>
      </c>
      <c r="G366" s="4">
        <v>148.22</v>
      </c>
      <c r="H366" s="4">
        <v>21.972999999999999</v>
      </c>
      <c r="I366" s="4">
        <v>32.792000000000002</v>
      </c>
      <c r="J366" s="4">
        <v>178.43</v>
      </c>
      <c r="K366" s="4">
        <v>2.4026000000000001</v>
      </c>
      <c r="L366" s="4">
        <v>5.8696999999999999</v>
      </c>
      <c r="M366" s="4">
        <v>7.8475000000000003E-3</v>
      </c>
      <c r="N366" s="4" t="s">
        <v>20</v>
      </c>
    </row>
    <row r="367" spans="1:14" ht="17" x14ac:dyDescent="0.35">
      <c r="A367" s="15">
        <v>83.245999999999995</v>
      </c>
      <c r="B367" s="16">
        <v>1.9252</v>
      </c>
      <c r="C367" s="4">
        <v>0.2984</v>
      </c>
      <c r="D367" s="4">
        <v>3.3512</v>
      </c>
      <c r="E367" s="4">
        <v>1.6316999999999999</v>
      </c>
      <c r="F367" s="4">
        <v>2.2768999999999999</v>
      </c>
      <c r="G367" s="4">
        <v>147.91999999999999</v>
      </c>
      <c r="H367" s="4">
        <v>22.013999999999999</v>
      </c>
      <c r="I367" s="4">
        <v>32.945</v>
      </c>
      <c r="J367" s="4">
        <v>178.74</v>
      </c>
      <c r="K367" s="4">
        <v>2.3761999999999999</v>
      </c>
      <c r="L367" s="4">
        <v>5.9123999999999999</v>
      </c>
      <c r="M367" s="4">
        <v>7.9156000000000001E-3</v>
      </c>
      <c r="N367" s="4" t="s">
        <v>20</v>
      </c>
    </row>
    <row r="368" spans="1:14" ht="17" x14ac:dyDescent="0.35">
      <c r="A368" s="15">
        <v>83.751000000000005</v>
      </c>
      <c r="B368" s="16">
        <v>2.0251999999999999</v>
      </c>
      <c r="C368" s="4">
        <v>0.31281999999999999</v>
      </c>
      <c r="D368" s="4">
        <v>3.1966999999999999</v>
      </c>
      <c r="E368" s="4">
        <v>1.6384000000000001</v>
      </c>
      <c r="F368" s="4">
        <v>2.2858000000000001</v>
      </c>
      <c r="G368" s="4">
        <v>147.63</v>
      </c>
      <c r="H368" s="4">
        <v>22.053999999999998</v>
      </c>
      <c r="I368" s="4">
        <v>33.097999999999999</v>
      </c>
      <c r="J368" s="4">
        <v>179.02</v>
      </c>
      <c r="K368" s="4">
        <v>2.3513999999999999</v>
      </c>
      <c r="L368" s="4">
        <v>5.9537000000000004</v>
      </c>
      <c r="M368" s="4">
        <v>7.9818000000000007E-3</v>
      </c>
      <c r="N368" s="4" t="s">
        <v>20</v>
      </c>
    </row>
    <row r="369" spans="1:14" ht="17" x14ac:dyDescent="0.35">
      <c r="A369" s="15">
        <v>84.239000000000004</v>
      </c>
      <c r="B369" s="16">
        <v>2.1252</v>
      </c>
      <c r="C369" s="4">
        <v>0.32722000000000001</v>
      </c>
      <c r="D369" s="4">
        <v>3.056</v>
      </c>
      <c r="E369" s="4">
        <v>1.6447000000000001</v>
      </c>
      <c r="F369" s="4">
        <v>2.2942</v>
      </c>
      <c r="G369" s="4">
        <v>147.36000000000001</v>
      </c>
      <c r="H369" s="4">
        <v>22.093</v>
      </c>
      <c r="I369" s="4">
        <v>33.249000000000002</v>
      </c>
      <c r="J369" s="4">
        <v>179.28</v>
      </c>
      <c r="K369" s="4">
        <v>2.3279000000000001</v>
      </c>
      <c r="L369" s="4">
        <v>5.9936999999999996</v>
      </c>
      <c r="M369" s="4">
        <v>8.0462999999999993E-3</v>
      </c>
      <c r="N369" s="4" t="s">
        <v>20</v>
      </c>
    </row>
    <row r="370" spans="1:14" ht="17" x14ac:dyDescent="0.35">
      <c r="A370" s="15">
        <v>84.71</v>
      </c>
      <c r="B370" s="16">
        <v>2.2252000000000001</v>
      </c>
      <c r="C370" s="4">
        <v>0.34159</v>
      </c>
      <c r="D370" s="4">
        <v>2.9275000000000002</v>
      </c>
      <c r="E370" s="4">
        <v>1.6507000000000001</v>
      </c>
      <c r="F370" s="4">
        <v>2.3020999999999998</v>
      </c>
      <c r="G370" s="4">
        <v>147.1</v>
      </c>
      <c r="H370" s="4">
        <v>22.132000000000001</v>
      </c>
      <c r="I370" s="4">
        <v>33.4</v>
      </c>
      <c r="J370" s="4">
        <v>179.53</v>
      </c>
      <c r="K370" s="4">
        <v>2.3056999999999999</v>
      </c>
      <c r="L370" s="4">
        <v>6.0324</v>
      </c>
      <c r="M370" s="4">
        <v>8.1092000000000004E-3</v>
      </c>
      <c r="N370" s="4" t="s">
        <v>20</v>
      </c>
    </row>
    <row r="371" spans="1:14" ht="17" x14ac:dyDescent="0.35">
      <c r="A371" s="15">
        <v>85.165000000000006</v>
      </c>
      <c r="B371" s="16">
        <v>2.3252000000000002</v>
      </c>
      <c r="C371" s="4">
        <v>0.35593999999999998</v>
      </c>
      <c r="D371" s="4">
        <v>2.8094999999999999</v>
      </c>
      <c r="E371" s="4">
        <v>1.6564000000000001</v>
      </c>
      <c r="F371" s="4">
        <v>2.3096999999999999</v>
      </c>
      <c r="G371" s="4">
        <v>146.85</v>
      </c>
      <c r="H371" s="4">
        <v>22.170999999999999</v>
      </c>
      <c r="I371" s="4">
        <v>33.551000000000002</v>
      </c>
      <c r="J371" s="4">
        <v>179.76</v>
      </c>
      <c r="K371" s="4">
        <v>2.2847</v>
      </c>
      <c r="L371" s="4">
        <v>6.0701000000000001</v>
      </c>
      <c r="M371" s="4">
        <v>8.1706000000000001E-3</v>
      </c>
      <c r="N371" s="4" t="s">
        <v>20</v>
      </c>
    </row>
    <row r="372" spans="1:14" ht="17" x14ac:dyDescent="0.35">
      <c r="A372" s="15">
        <v>85.605999999999995</v>
      </c>
      <c r="B372" s="16">
        <v>2.4251999999999998</v>
      </c>
      <c r="C372" s="4">
        <v>0.37025999999999998</v>
      </c>
      <c r="D372" s="4">
        <v>2.7008000000000001</v>
      </c>
      <c r="E372" s="4">
        <v>1.6618999999999999</v>
      </c>
      <c r="F372" s="4">
        <v>2.3169</v>
      </c>
      <c r="G372" s="4">
        <v>146.61000000000001</v>
      </c>
      <c r="H372" s="4">
        <v>22.209</v>
      </c>
      <c r="I372" s="4">
        <v>33.701000000000001</v>
      </c>
      <c r="J372" s="4">
        <v>179.98</v>
      </c>
      <c r="K372" s="4">
        <v>2.2646000000000002</v>
      </c>
      <c r="L372" s="4">
        <v>6.1067</v>
      </c>
      <c r="M372" s="4">
        <v>8.2307000000000005E-3</v>
      </c>
      <c r="N372" s="4" t="s">
        <v>20</v>
      </c>
    </row>
    <row r="373" spans="1:14" ht="17" x14ac:dyDescent="0.35">
      <c r="A373" s="15">
        <v>86.033000000000001</v>
      </c>
      <c r="B373" s="16">
        <v>2.5251999999999999</v>
      </c>
      <c r="C373" s="4">
        <v>0.38457000000000002</v>
      </c>
      <c r="D373" s="4">
        <v>2.6002999999999998</v>
      </c>
      <c r="E373" s="4">
        <v>1.667</v>
      </c>
      <c r="F373" s="4">
        <v>2.3237000000000001</v>
      </c>
      <c r="G373" s="4">
        <v>146.38999999999999</v>
      </c>
      <c r="H373" s="4">
        <v>22.247</v>
      </c>
      <c r="I373" s="4">
        <v>33.85</v>
      </c>
      <c r="J373" s="4">
        <v>180.19</v>
      </c>
      <c r="K373" s="4">
        <v>2.2454999999999998</v>
      </c>
      <c r="L373" s="4">
        <v>6.1424000000000003</v>
      </c>
      <c r="M373" s="4">
        <v>8.2895999999999994E-3</v>
      </c>
      <c r="N373" s="4" t="s">
        <v>20</v>
      </c>
    </row>
    <row r="374" spans="1:14" ht="17" x14ac:dyDescent="0.35">
      <c r="A374" s="15">
        <v>86.447999999999993</v>
      </c>
      <c r="B374" s="16">
        <v>2.6252</v>
      </c>
      <c r="C374" s="4">
        <v>0.39884999999999998</v>
      </c>
      <c r="D374" s="4">
        <v>2.5072000000000001</v>
      </c>
      <c r="E374" s="4">
        <v>1.6719999999999999</v>
      </c>
      <c r="F374" s="4">
        <v>2.3302</v>
      </c>
      <c r="G374" s="4">
        <v>146.16</v>
      </c>
      <c r="H374" s="4">
        <v>22.283999999999999</v>
      </c>
      <c r="I374" s="4">
        <v>33.999000000000002</v>
      </c>
      <c r="J374" s="4">
        <v>180.38</v>
      </c>
      <c r="K374" s="4">
        <v>2.2273000000000001</v>
      </c>
      <c r="L374" s="4">
        <v>6.1772999999999998</v>
      </c>
      <c r="M374" s="4">
        <v>8.3473999999999996E-3</v>
      </c>
      <c r="N374" s="4" t="s">
        <v>20</v>
      </c>
    </row>
    <row r="375" spans="1:14" ht="17" x14ac:dyDescent="0.35">
      <c r="A375" s="15">
        <v>86.852000000000004</v>
      </c>
      <c r="B375" s="16">
        <v>2.7252000000000001</v>
      </c>
      <c r="C375" s="4">
        <v>0.41313</v>
      </c>
      <c r="D375" s="4">
        <v>2.4205999999999999</v>
      </c>
      <c r="E375" s="4">
        <v>1.6767000000000001</v>
      </c>
      <c r="F375" s="4">
        <v>2.3363999999999998</v>
      </c>
      <c r="G375" s="4">
        <v>145.94999999999999</v>
      </c>
      <c r="H375" s="4">
        <v>22.321000000000002</v>
      </c>
      <c r="I375" s="4">
        <v>34.148000000000003</v>
      </c>
      <c r="J375" s="4">
        <v>180.56</v>
      </c>
      <c r="K375" s="4">
        <v>2.2098</v>
      </c>
      <c r="L375" s="4">
        <v>6.2111999999999998</v>
      </c>
      <c r="M375" s="4">
        <v>8.4040999999999994E-3</v>
      </c>
      <c r="N375" s="4" t="s">
        <v>20</v>
      </c>
    </row>
    <row r="376" spans="1:14" ht="17" x14ac:dyDescent="0.35">
      <c r="A376" s="15">
        <v>87.245000000000005</v>
      </c>
      <c r="B376" s="16">
        <v>2.8252000000000002</v>
      </c>
      <c r="C376" s="4">
        <v>0.42738999999999999</v>
      </c>
      <c r="D376" s="4">
        <v>2.3397999999999999</v>
      </c>
      <c r="E376" s="4">
        <v>1.6812</v>
      </c>
      <c r="F376" s="4">
        <v>2.3422999999999998</v>
      </c>
      <c r="G376" s="4">
        <v>145.75</v>
      </c>
      <c r="H376" s="4">
        <v>22.356999999999999</v>
      </c>
      <c r="I376" s="4">
        <v>34.295999999999999</v>
      </c>
      <c r="J376" s="4">
        <v>180.73</v>
      </c>
      <c r="K376" s="4">
        <v>2.1930999999999998</v>
      </c>
      <c r="L376" s="4">
        <v>6.2445000000000004</v>
      </c>
      <c r="M376" s="4">
        <v>8.4598999999999994E-3</v>
      </c>
      <c r="N376" s="4" t="s">
        <v>20</v>
      </c>
    </row>
    <row r="377" spans="1:14" ht="17" x14ac:dyDescent="0.35">
      <c r="A377" s="15">
        <v>87.626999999999995</v>
      </c>
      <c r="B377" s="16">
        <v>2.9251999999999998</v>
      </c>
      <c r="C377" s="4">
        <v>0.44163999999999998</v>
      </c>
      <c r="D377" s="4">
        <v>2.2643</v>
      </c>
      <c r="E377" s="4">
        <v>1.6856</v>
      </c>
      <c r="F377" s="4">
        <v>2.3479000000000001</v>
      </c>
      <c r="G377" s="4">
        <v>145.55000000000001</v>
      </c>
      <c r="H377" s="4">
        <v>22.393000000000001</v>
      </c>
      <c r="I377" s="4">
        <v>34.445</v>
      </c>
      <c r="J377" s="4">
        <v>180.9</v>
      </c>
      <c r="K377" s="4">
        <v>2.177</v>
      </c>
      <c r="L377" s="4">
        <v>6.2770000000000001</v>
      </c>
      <c r="M377" s="4">
        <v>8.5147999999999995E-3</v>
      </c>
      <c r="N377" s="4" t="s">
        <v>20</v>
      </c>
    </row>
    <row r="378" spans="1:14" ht="17" x14ac:dyDescent="0.35">
      <c r="A378" s="15">
        <v>88</v>
      </c>
      <c r="B378" s="16">
        <v>3.0251999999999999</v>
      </c>
      <c r="C378" s="4">
        <v>0.45588000000000001</v>
      </c>
      <c r="D378" s="4">
        <v>2.1936</v>
      </c>
      <c r="E378" s="4">
        <v>1.6897</v>
      </c>
      <c r="F378" s="4">
        <v>2.3532999999999999</v>
      </c>
      <c r="G378" s="4">
        <v>145.36000000000001</v>
      </c>
      <c r="H378" s="4">
        <v>22.428999999999998</v>
      </c>
      <c r="I378" s="4">
        <v>34.593000000000004</v>
      </c>
      <c r="J378" s="4">
        <v>181.05</v>
      </c>
      <c r="K378" s="4">
        <v>2.1616</v>
      </c>
      <c r="L378" s="4">
        <v>6.3087999999999997</v>
      </c>
      <c r="M378" s="4">
        <v>8.5687999999999997E-3</v>
      </c>
      <c r="N378" s="4" t="s">
        <v>20</v>
      </c>
    </row>
    <row r="379" spans="1:14" ht="17" x14ac:dyDescent="0.35">
      <c r="A379" s="15">
        <v>88.364999999999995</v>
      </c>
      <c r="B379" s="16">
        <v>3.1252</v>
      </c>
      <c r="C379" s="4">
        <v>0.47010999999999997</v>
      </c>
      <c r="D379" s="4">
        <v>2.1272000000000002</v>
      </c>
      <c r="E379" s="4">
        <v>1.6937</v>
      </c>
      <c r="F379" s="4">
        <v>2.3584999999999998</v>
      </c>
      <c r="G379" s="4">
        <v>145.16999999999999</v>
      </c>
      <c r="H379" s="4">
        <v>22.463999999999999</v>
      </c>
      <c r="I379" s="4">
        <v>34.741</v>
      </c>
      <c r="J379" s="4">
        <v>181.19</v>
      </c>
      <c r="K379" s="4">
        <v>2.1467000000000001</v>
      </c>
      <c r="L379" s="4">
        <v>6.34</v>
      </c>
      <c r="M379" s="4">
        <v>8.6221000000000006E-3</v>
      </c>
      <c r="N379" s="4" t="s">
        <v>20</v>
      </c>
    </row>
    <row r="380" spans="1:14" ht="17" x14ac:dyDescent="0.35">
      <c r="A380" s="15">
        <v>88.72</v>
      </c>
      <c r="B380" s="16">
        <v>3.2252000000000001</v>
      </c>
      <c r="C380" s="4">
        <v>0.48433999999999999</v>
      </c>
      <c r="D380" s="4">
        <v>2.0647000000000002</v>
      </c>
      <c r="E380" s="4">
        <v>1.6975</v>
      </c>
      <c r="F380" s="4">
        <v>2.3633999999999999</v>
      </c>
      <c r="G380" s="4">
        <v>144.99</v>
      </c>
      <c r="H380" s="4">
        <v>22.5</v>
      </c>
      <c r="I380" s="4">
        <v>34.889000000000003</v>
      </c>
      <c r="J380" s="4">
        <v>181.33</v>
      </c>
      <c r="K380" s="4">
        <v>2.1324000000000001</v>
      </c>
      <c r="L380" s="4">
        <v>6.3705999999999996</v>
      </c>
      <c r="M380" s="4">
        <v>8.6745999999999993E-3</v>
      </c>
      <c r="N380" s="4" t="s">
        <v>20</v>
      </c>
    </row>
    <row r="381" spans="1:14" ht="17" x14ac:dyDescent="0.35">
      <c r="A381" s="15">
        <v>89.067999999999998</v>
      </c>
      <c r="B381" s="16">
        <v>3.3252000000000002</v>
      </c>
      <c r="C381" s="4">
        <v>0.49856</v>
      </c>
      <c r="D381" s="4">
        <v>2.0057999999999998</v>
      </c>
      <c r="E381" s="4">
        <v>1.7012</v>
      </c>
      <c r="F381" s="4">
        <v>2.3681000000000001</v>
      </c>
      <c r="G381" s="4">
        <v>144.81</v>
      </c>
      <c r="H381" s="4">
        <v>22.533999999999999</v>
      </c>
      <c r="I381" s="4">
        <v>35.036999999999999</v>
      </c>
      <c r="J381" s="4">
        <v>181.46</v>
      </c>
      <c r="K381" s="4">
        <v>2.1185</v>
      </c>
      <c r="L381" s="4">
        <v>6.4005999999999998</v>
      </c>
      <c r="M381" s="4">
        <v>8.7264999999999999E-3</v>
      </c>
      <c r="N381" s="4" t="s">
        <v>20</v>
      </c>
    </row>
    <row r="382" spans="1:14" ht="17" x14ac:dyDescent="0.35">
      <c r="A382" s="15">
        <v>89.408000000000001</v>
      </c>
      <c r="B382" s="16">
        <v>3.4251999999999998</v>
      </c>
      <c r="C382" s="4">
        <v>0.51278000000000001</v>
      </c>
      <c r="D382" s="4">
        <v>1.9501999999999999</v>
      </c>
      <c r="E382" s="4">
        <v>1.7047000000000001</v>
      </c>
      <c r="F382" s="4">
        <v>2.3727</v>
      </c>
      <c r="G382" s="4">
        <v>144.63999999999999</v>
      </c>
      <c r="H382" s="4">
        <v>22.568999999999999</v>
      </c>
      <c r="I382" s="4">
        <v>35.185000000000002</v>
      </c>
      <c r="J382" s="4">
        <v>181.58</v>
      </c>
      <c r="K382" s="4">
        <v>2.1052</v>
      </c>
      <c r="L382" s="4">
        <v>6.4301000000000004</v>
      </c>
      <c r="M382" s="4">
        <v>8.7776999999999994E-3</v>
      </c>
      <c r="N382" s="4" t="s">
        <v>20</v>
      </c>
    </row>
    <row r="383" spans="1:14" ht="17" x14ac:dyDescent="0.35">
      <c r="A383" s="15">
        <v>89.741</v>
      </c>
      <c r="B383" s="16">
        <v>3.5251999999999999</v>
      </c>
      <c r="C383" s="4">
        <v>0.52698999999999996</v>
      </c>
      <c r="D383" s="4">
        <v>1.8976</v>
      </c>
      <c r="E383" s="4">
        <v>1.7081</v>
      </c>
      <c r="F383" s="4">
        <v>2.3769999999999998</v>
      </c>
      <c r="G383" s="4">
        <v>144.47</v>
      </c>
      <c r="H383" s="4">
        <v>22.603000000000002</v>
      </c>
      <c r="I383" s="4">
        <v>35.332999999999998</v>
      </c>
      <c r="J383" s="4">
        <v>181.7</v>
      </c>
      <c r="K383" s="4">
        <v>2.0922000000000001</v>
      </c>
      <c r="L383" s="4">
        <v>6.4591000000000003</v>
      </c>
      <c r="M383" s="4">
        <v>8.8284000000000001E-3</v>
      </c>
      <c r="N383" s="4" t="s">
        <v>20</v>
      </c>
    </row>
    <row r="384" spans="1:14" ht="17" x14ac:dyDescent="0.35">
      <c r="A384" s="15">
        <v>90.066999999999993</v>
      </c>
      <c r="B384" s="16">
        <v>3.6252</v>
      </c>
      <c r="C384" s="4">
        <v>0.54120999999999997</v>
      </c>
      <c r="D384" s="4">
        <v>1.8476999999999999</v>
      </c>
      <c r="E384" s="4">
        <v>1.7113</v>
      </c>
      <c r="F384" s="4">
        <v>2.3811</v>
      </c>
      <c r="G384" s="4">
        <v>144.31</v>
      </c>
      <c r="H384" s="4">
        <v>22.638000000000002</v>
      </c>
      <c r="I384" s="4">
        <v>35.481999999999999</v>
      </c>
      <c r="J384" s="4">
        <v>181.81</v>
      </c>
      <c r="K384" s="4">
        <v>2.0796999999999999</v>
      </c>
      <c r="L384" s="4">
        <v>6.4877000000000002</v>
      </c>
      <c r="M384" s="4">
        <v>8.8784999999999992E-3</v>
      </c>
      <c r="N384" s="4" t="s">
        <v>20</v>
      </c>
    </row>
    <row r="385" spans="1:14" ht="17" x14ac:dyDescent="0.35">
      <c r="A385" s="15">
        <v>90.385999999999996</v>
      </c>
      <c r="B385" s="16">
        <v>3.7252000000000001</v>
      </c>
      <c r="C385" s="4">
        <v>0.55542000000000002</v>
      </c>
      <c r="D385" s="4">
        <v>1.8004</v>
      </c>
      <c r="E385" s="4">
        <v>1.7143999999999999</v>
      </c>
      <c r="F385" s="4">
        <v>2.3851</v>
      </c>
      <c r="G385" s="4">
        <v>144.15</v>
      </c>
      <c r="H385" s="4">
        <v>22.672000000000001</v>
      </c>
      <c r="I385" s="4">
        <v>35.630000000000003</v>
      </c>
      <c r="J385" s="4">
        <v>181.91</v>
      </c>
      <c r="K385" s="4">
        <v>2.0676000000000001</v>
      </c>
      <c r="L385" s="4">
        <v>6.5156999999999998</v>
      </c>
      <c r="M385" s="4">
        <v>8.9280000000000002E-3</v>
      </c>
      <c r="N385" s="4" t="s">
        <v>20</v>
      </c>
    </row>
    <row r="386" spans="1:14" ht="17" x14ac:dyDescent="0.35">
      <c r="A386" s="15">
        <v>90.698999999999998</v>
      </c>
      <c r="B386" s="16">
        <v>3.8252000000000002</v>
      </c>
      <c r="C386" s="4">
        <v>0.56964000000000004</v>
      </c>
      <c r="D386" s="4">
        <v>1.7555000000000001</v>
      </c>
      <c r="E386" s="4">
        <v>1.7174</v>
      </c>
      <c r="F386" s="4">
        <v>2.3889999999999998</v>
      </c>
      <c r="G386" s="4">
        <v>144</v>
      </c>
      <c r="H386" s="4">
        <v>22.704999999999998</v>
      </c>
      <c r="I386" s="4">
        <v>35.779000000000003</v>
      </c>
      <c r="J386" s="4">
        <v>182.01</v>
      </c>
      <c r="K386" s="4">
        <v>2.0558000000000001</v>
      </c>
      <c r="L386" s="4">
        <v>6.5433000000000003</v>
      </c>
      <c r="M386" s="4">
        <v>8.9771E-3</v>
      </c>
      <c r="N386" s="4" t="s">
        <v>20</v>
      </c>
    </row>
    <row r="387" spans="1:14" ht="17" x14ac:dyDescent="0.35">
      <c r="A387" s="15">
        <v>91.007000000000005</v>
      </c>
      <c r="B387" s="16">
        <v>3.9251999999999998</v>
      </c>
      <c r="C387" s="4">
        <v>0.58386000000000005</v>
      </c>
      <c r="D387" s="4">
        <v>1.7126999999999999</v>
      </c>
      <c r="E387" s="4">
        <v>1.7202999999999999</v>
      </c>
      <c r="F387" s="4">
        <v>2.3925999999999998</v>
      </c>
      <c r="G387" s="4">
        <v>143.85</v>
      </c>
      <c r="H387" s="4">
        <v>22.739000000000001</v>
      </c>
      <c r="I387" s="4">
        <v>35.927999999999997</v>
      </c>
      <c r="J387" s="4">
        <v>182.1</v>
      </c>
      <c r="K387" s="4">
        <v>2.0444</v>
      </c>
      <c r="L387" s="4">
        <v>6.5705999999999998</v>
      </c>
      <c r="M387" s="4">
        <v>9.0256999999999993E-3</v>
      </c>
      <c r="N387" s="4" t="s">
        <v>20</v>
      </c>
    </row>
    <row r="388" spans="1:14" ht="17" x14ac:dyDescent="0.35">
      <c r="A388" s="15">
        <v>91.308000000000007</v>
      </c>
      <c r="B388" s="16">
        <v>4.0251999999999999</v>
      </c>
      <c r="C388" s="4">
        <v>0.59807999999999995</v>
      </c>
      <c r="D388" s="4">
        <v>1.6719999999999999</v>
      </c>
      <c r="E388" s="4">
        <v>1.7231000000000001</v>
      </c>
      <c r="F388" s="4">
        <v>2.3961000000000001</v>
      </c>
      <c r="G388" s="4">
        <v>143.69999999999999</v>
      </c>
      <c r="H388" s="4">
        <v>22.771999999999998</v>
      </c>
      <c r="I388" s="4">
        <v>36.076999999999998</v>
      </c>
      <c r="J388" s="4">
        <v>182.19</v>
      </c>
      <c r="K388" s="4">
        <v>2.0333000000000001</v>
      </c>
      <c r="L388" s="4">
        <v>6.5974000000000004</v>
      </c>
      <c r="M388" s="4">
        <v>9.0738999999999993E-3</v>
      </c>
      <c r="N388" s="4" t="s">
        <v>20</v>
      </c>
    </row>
    <row r="389" spans="1:14" ht="17" x14ac:dyDescent="0.35">
      <c r="A389" s="15">
        <v>91.603999999999999</v>
      </c>
      <c r="B389" s="16">
        <v>4.1252000000000004</v>
      </c>
      <c r="C389" s="4">
        <v>0.61229999999999996</v>
      </c>
      <c r="D389" s="4">
        <v>1.6332</v>
      </c>
      <c r="E389" s="4">
        <v>1.7258</v>
      </c>
      <c r="F389" s="4">
        <v>2.3995000000000002</v>
      </c>
      <c r="G389" s="4">
        <v>143.56</v>
      </c>
      <c r="H389" s="4">
        <v>22.805</v>
      </c>
      <c r="I389" s="4">
        <v>36.226999999999997</v>
      </c>
      <c r="J389" s="4">
        <v>182.27</v>
      </c>
      <c r="K389" s="4">
        <v>2.0225</v>
      </c>
      <c r="L389" s="4">
        <v>6.6238000000000001</v>
      </c>
      <c r="M389" s="4">
        <v>9.1216999999999999E-3</v>
      </c>
      <c r="N389" s="4" t="s">
        <v>20</v>
      </c>
    </row>
    <row r="390" spans="1:14" ht="17" x14ac:dyDescent="0.35">
      <c r="A390" s="15">
        <v>91.894999999999996</v>
      </c>
      <c r="B390" s="16">
        <v>4.2252000000000001</v>
      </c>
      <c r="C390" s="4">
        <v>0.62653000000000003</v>
      </c>
      <c r="D390" s="4">
        <v>1.5961000000000001</v>
      </c>
      <c r="E390" s="4">
        <v>1.7283999999999999</v>
      </c>
      <c r="F390" s="4">
        <v>2.4028</v>
      </c>
      <c r="G390" s="4">
        <v>143.41999999999999</v>
      </c>
      <c r="H390" s="4">
        <v>22.838000000000001</v>
      </c>
      <c r="I390" s="4">
        <v>36.375999999999998</v>
      </c>
      <c r="J390" s="4">
        <v>182.35</v>
      </c>
      <c r="K390" s="4">
        <v>2.012</v>
      </c>
      <c r="L390" s="4">
        <v>6.6498999999999997</v>
      </c>
      <c r="M390" s="4">
        <v>9.1690999999999995E-3</v>
      </c>
      <c r="N390" s="4" t="s">
        <v>20</v>
      </c>
    </row>
    <row r="391" spans="1:14" ht="17" x14ac:dyDescent="0.35">
      <c r="A391" s="15">
        <v>92.180999999999997</v>
      </c>
      <c r="B391" s="16">
        <v>4.3251999999999997</v>
      </c>
      <c r="C391" s="4">
        <v>0.64076</v>
      </c>
      <c r="D391" s="4">
        <v>1.5606</v>
      </c>
      <c r="E391" s="4">
        <v>1.7309000000000001</v>
      </c>
      <c r="F391" s="4">
        <v>2.4058999999999999</v>
      </c>
      <c r="G391" s="4">
        <v>143.28</v>
      </c>
      <c r="H391" s="4">
        <v>22.870999999999999</v>
      </c>
      <c r="I391" s="4">
        <v>36.527000000000001</v>
      </c>
      <c r="J391" s="4">
        <v>182.42</v>
      </c>
      <c r="K391" s="4">
        <v>2.0017999999999998</v>
      </c>
      <c r="L391" s="4">
        <v>6.6757</v>
      </c>
      <c r="M391" s="4">
        <v>9.2160999999999996E-3</v>
      </c>
      <c r="N391" s="4" t="s">
        <v>20</v>
      </c>
    </row>
    <row r="392" spans="1:14" ht="17" x14ac:dyDescent="0.35">
      <c r="A392" s="15">
        <v>92.462999999999994</v>
      </c>
      <c r="B392" s="16">
        <v>4.4252000000000002</v>
      </c>
      <c r="C392" s="4">
        <v>0.65500000000000003</v>
      </c>
      <c r="D392" s="4">
        <v>1.5266999999999999</v>
      </c>
      <c r="E392" s="4">
        <v>1.7332000000000001</v>
      </c>
      <c r="F392" s="4">
        <v>2.4087999999999998</v>
      </c>
      <c r="G392" s="4">
        <v>143.15</v>
      </c>
      <c r="H392" s="4">
        <v>22.904</v>
      </c>
      <c r="I392" s="4">
        <v>36.677</v>
      </c>
      <c r="J392" s="4">
        <v>182.49</v>
      </c>
      <c r="K392" s="4">
        <v>1.9918</v>
      </c>
      <c r="L392" s="4">
        <v>6.7011000000000003</v>
      </c>
      <c r="M392" s="4">
        <v>9.2627999999999999E-3</v>
      </c>
      <c r="N392" s="4" t="s">
        <v>20</v>
      </c>
    </row>
    <row r="393" spans="1:14" ht="17" x14ac:dyDescent="0.35">
      <c r="A393" s="15">
        <v>92.739000000000004</v>
      </c>
      <c r="B393" s="16">
        <v>4.5251999999999999</v>
      </c>
      <c r="C393" s="4">
        <v>0.66925000000000001</v>
      </c>
      <c r="D393" s="4">
        <v>1.4942</v>
      </c>
      <c r="E393" s="4">
        <v>1.7356</v>
      </c>
      <c r="F393" s="4">
        <v>2.4117000000000002</v>
      </c>
      <c r="G393" s="4">
        <v>143.01</v>
      </c>
      <c r="H393" s="4">
        <v>22.936</v>
      </c>
      <c r="I393" s="4">
        <v>36.828000000000003</v>
      </c>
      <c r="J393" s="4">
        <v>182.56</v>
      </c>
      <c r="K393" s="4">
        <v>1.9821</v>
      </c>
      <c r="L393" s="4">
        <v>6.7262000000000004</v>
      </c>
      <c r="M393" s="4">
        <v>9.3091000000000007E-3</v>
      </c>
      <c r="N393" s="4" t="s">
        <v>20</v>
      </c>
    </row>
    <row r="394" spans="1:14" ht="17" x14ac:dyDescent="0.35">
      <c r="A394" s="15">
        <v>93.010999999999996</v>
      </c>
      <c r="B394" s="16">
        <v>4.6252000000000004</v>
      </c>
      <c r="C394" s="4">
        <v>0.68350999999999995</v>
      </c>
      <c r="D394" s="4">
        <v>1.4630000000000001</v>
      </c>
      <c r="E394" s="4">
        <v>1.7378</v>
      </c>
      <c r="F394" s="4">
        <v>2.4144999999999999</v>
      </c>
      <c r="G394" s="4">
        <v>142.88</v>
      </c>
      <c r="H394" s="4">
        <v>22.969000000000001</v>
      </c>
      <c r="I394" s="4">
        <v>36.978999999999999</v>
      </c>
      <c r="J394" s="4">
        <v>182.62</v>
      </c>
      <c r="K394" s="4">
        <v>1.9725999999999999</v>
      </c>
      <c r="L394" s="4">
        <v>6.7510000000000003</v>
      </c>
      <c r="M394" s="4">
        <v>9.3551999999999993E-3</v>
      </c>
      <c r="N394" s="4" t="s">
        <v>20</v>
      </c>
    </row>
    <row r="395" spans="1:14" ht="17" x14ac:dyDescent="0.35">
      <c r="A395" s="15">
        <v>93.278999999999996</v>
      </c>
      <c r="B395" s="16">
        <v>4.7252000000000001</v>
      </c>
      <c r="C395" s="4">
        <v>0.69777</v>
      </c>
      <c r="D395" s="4">
        <v>1.4331</v>
      </c>
      <c r="E395" s="4">
        <v>1.7399</v>
      </c>
      <c r="F395" s="4">
        <v>2.4171</v>
      </c>
      <c r="G395" s="4">
        <v>142.76</v>
      </c>
      <c r="H395" s="4">
        <v>23.001000000000001</v>
      </c>
      <c r="I395" s="4">
        <v>37.131</v>
      </c>
      <c r="J395" s="4">
        <v>182.68</v>
      </c>
      <c r="K395" s="4">
        <v>1.9634</v>
      </c>
      <c r="L395" s="4">
        <v>6.7755000000000001</v>
      </c>
      <c r="M395" s="4">
        <v>9.4009999999999996E-3</v>
      </c>
      <c r="N395" s="4" t="s">
        <v>20</v>
      </c>
    </row>
    <row r="396" spans="1:14" ht="17" x14ac:dyDescent="0.35">
      <c r="A396" s="15">
        <v>93.543000000000006</v>
      </c>
      <c r="B396" s="16">
        <v>4.8251999999999997</v>
      </c>
      <c r="C396" s="4">
        <v>0.71204000000000001</v>
      </c>
      <c r="D396" s="4">
        <v>1.4044000000000001</v>
      </c>
      <c r="E396" s="4">
        <v>1.742</v>
      </c>
      <c r="F396" s="4">
        <v>2.4196</v>
      </c>
      <c r="G396" s="4">
        <v>142.63</v>
      </c>
      <c r="H396" s="4">
        <v>23.033000000000001</v>
      </c>
      <c r="I396" s="4">
        <v>37.283000000000001</v>
      </c>
      <c r="J396" s="4">
        <v>182.73</v>
      </c>
      <c r="K396" s="4">
        <v>1.9542999999999999</v>
      </c>
      <c r="L396" s="4">
        <v>6.7996999999999996</v>
      </c>
      <c r="M396" s="4">
        <v>9.4465E-3</v>
      </c>
      <c r="N396" s="4" t="s">
        <v>20</v>
      </c>
    </row>
    <row r="397" spans="1:14" ht="17" x14ac:dyDescent="0.35">
      <c r="A397" s="15">
        <v>93.802999999999997</v>
      </c>
      <c r="B397" s="16">
        <v>4.9252000000000002</v>
      </c>
      <c r="C397" s="4">
        <v>0.72631999999999997</v>
      </c>
      <c r="D397" s="4">
        <v>1.3768</v>
      </c>
      <c r="E397" s="4">
        <v>1.744</v>
      </c>
      <c r="F397" s="4">
        <v>2.4220999999999999</v>
      </c>
      <c r="G397" s="4">
        <v>142.51</v>
      </c>
      <c r="H397" s="4">
        <v>23.065000000000001</v>
      </c>
      <c r="I397" s="4">
        <v>37.436</v>
      </c>
      <c r="J397" s="4">
        <v>182.78</v>
      </c>
      <c r="K397" s="4">
        <v>1.9455</v>
      </c>
      <c r="L397" s="4">
        <v>6.8236999999999997</v>
      </c>
      <c r="M397" s="4">
        <v>9.4917999999999999E-3</v>
      </c>
      <c r="N397" s="4" t="s">
        <v>20</v>
      </c>
    </row>
    <row r="398" spans="1:14" ht="17" x14ac:dyDescent="0.35">
      <c r="A398" s="15">
        <v>94.058999999999997</v>
      </c>
      <c r="B398" s="16">
        <v>5.0251999999999999</v>
      </c>
      <c r="C398" s="4">
        <v>0.74061999999999995</v>
      </c>
      <c r="D398" s="4">
        <v>1.3502000000000001</v>
      </c>
      <c r="E398" s="4">
        <v>1.7459</v>
      </c>
      <c r="F398" s="4">
        <v>2.4243999999999999</v>
      </c>
      <c r="G398" s="4">
        <v>142.38999999999999</v>
      </c>
      <c r="H398" s="4">
        <v>23.097000000000001</v>
      </c>
      <c r="I398" s="4">
        <v>37.590000000000003</v>
      </c>
      <c r="J398" s="4">
        <v>182.83</v>
      </c>
      <c r="K398" s="4">
        <v>1.9369000000000001</v>
      </c>
      <c r="L398" s="4">
        <v>6.8474000000000004</v>
      </c>
      <c r="M398" s="4">
        <v>9.5367999999999998E-3</v>
      </c>
      <c r="N398" s="4" t="s">
        <v>20</v>
      </c>
    </row>
    <row r="399" spans="1:14" ht="17" x14ac:dyDescent="0.35">
      <c r="A399" s="15">
        <v>94.311999999999998</v>
      </c>
      <c r="B399" s="16">
        <v>5.1252000000000004</v>
      </c>
      <c r="C399" s="4">
        <v>0.75492000000000004</v>
      </c>
      <c r="D399" s="4">
        <v>1.3246</v>
      </c>
      <c r="E399" s="4">
        <v>1.7477</v>
      </c>
      <c r="F399" s="4">
        <v>2.4266000000000001</v>
      </c>
      <c r="G399" s="4">
        <v>142.27000000000001</v>
      </c>
      <c r="H399" s="4">
        <v>23.128</v>
      </c>
      <c r="I399" s="4">
        <v>37.743000000000002</v>
      </c>
      <c r="J399" s="4">
        <v>182.88</v>
      </c>
      <c r="K399" s="4">
        <v>1.9283999999999999</v>
      </c>
      <c r="L399" s="4">
        <v>6.8708999999999998</v>
      </c>
      <c r="M399" s="4">
        <v>9.5815999999999991E-3</v>
      </c>
      <c r="N399" s="4" t="s">
        <v>20</v>
      </c>
    </row>
    <row r="400" spans="1:14" ht="17" x14ac:dyDescent="0.35">
      <c r="A400" s="15">
        <v>94.561000000000007</v>
      </c>
      <c r="B400" s="16">
        <v>5.2252000000000001</v>
      </c>
      <c r="C400" s="4">
        <v>0.76924000000000003</v>
      </c>
      <c r="D400" s="4">
        <v>1.3</v>
      </c>
      <c r="E400" s="4">
        <v>1.7495000000000001</v>
      </c>
      <c r="F400" s="4">
        <v>2.4287000000000001</v>
      </c>
      <c r="G400" s="4">
        <v>142.15</v>
      </c>
      <c r="H400" s="4">
        <v>23.16</v>
      </c>
      <c r="I400" s="4">
        <v>37.898000000000003</v>
      </c>
      <c r="J400" s="4">
        <v>182.92</v>
      </c>
      <c r="K400" s="4">
        <v>1.9200999999999999</v>
      </c>
      <c r="L400" s="4">
        <v>6.8940999999999999</v>
      </c>
      <c r="M400" s="4">
        <v>9.6261999999999997E-3</v>
      </c>
      <c r="N400" s="4" t="s">
        <v>20</v>
      </c>
    </row>
    <row r="401" spans="1:14" ht="17" x14ac:dyDescent="0.35">
      <c r="A401" s="15">
        <v>94.805999999999997</v>
      </c>
      <c r="B401" s="16">
        <v>5.3251999999999997</v>
      </c>
      <c r="C401" s="4">
        <v>0.78356000000000003</v>
      </c>
      <c r="D401" s="4">
        <v>1.2762</v>
      </c>
      <c r="E401" s="4">
        <v>1.7512000000000001</v>
      </c>
      <c r="F401" s="4">
        <v>2.4308000000000001</v>
      </c>
      <c r="G401" s="4">
        <v>142.04</v>
      </c>
      <c r="H401" s="4">
        <v>23.192</v>
      </c>
      <c r="I401" s="4">
        <v>38.052999999999997</v>
      </c>
      <c r="J401" s="4">
        <v>182.96</v>
      </c>
      <c r="K401" s="4">
        <v>1.9119999999999999</v>
      </c>
      <c r="L401" s="4">
        <v>6.9170999999999996</v>
      </c>
      <c r="M401" s="4">
        <v>9.6705999999999997E-3</v>
      </c>
      <c r="N401" s="4" t="s">
        <v>20</v>
      </c>
    </row>
    <row r="402" spans="1:14" ht="17" x14ac:dyDescent="0.35">
      <c r="A402" s="15">
        <v>95.048000000000002</v>
      </c>
      <c r="B402" s="16">
        <v>5.4252000000000002</v>
      </c>
      <c r="C402" s="4">
        <v>0.79791000000000001</v>
      </c>
      <c r="D402" s="4">
        <v>1.2533000000000001</v>
      </c>
      <c r="E402" s="4">
        <v>1.7527999999999999</v>
      </c>
      <c r="F402" s="4">
        <v>2.4327000000000001</v>
      </c>
      <c r="G402" s="4">
        <v>141.93</v>
      </c>
      <c r="H402" s="4">
        <v>23.222999999999999</v>
      </c>
      <c r="I402" s="4">
        <v>38.207999999999998</v>
      </c>
      <c r="J402" s="4">
        <v>183</v>
      </c>
      <c r="K402" s="4">
        <v>1.9040999999999999</v>
      </c>
      <c r="L402" s="4">
        <v>6.9398999999999997</v>
      </c>
      <c r="M402" s="4">
        <v>9.7148000000000009E-3</v>
      </c>
      <c r="N402" s="4" t="s">
        <v>20</v>
      </c>
    </row>
    <row r="403" spans="1:14" ht="17" x14ac:dyDescent="0.35">
      <c r="A403" s="15">
        <v>95.287000000000006</v>
      </c>
      <c r="B403" s="16">
        <v>5.5251999999999999</v>
      </c>
      <c r="C403" s="4">
        <v>0.81225999999999998</v>
      </c>
      <c r="D403" s="4">
        <v>1.2311000000000001</v>
      </c>
      <c r="E403" s="4">
        <v>1.7544</v>
      </c>
      <c r="F403" s="4">
        <v>2.4346000000000001</v>
      </c>
      <c r="G403" s="4">
        <v>141.82</v>
      </c>
      <c r="H403" s="4">
        <v>23.254000000000001</v>
      </c>
      <c r="I403" s="4">
        <v>38.363999999999997</v>
      </c>
      <c r="J403" s="4">
        <v>183.03</v>
      </c>
      <c r="K403" s="4">
        <v>1.8963000000000001</v>
      </c>
      <c r="L403" s="4">
        <v>6.9623999999999997</v>
      </c>
      <c r="M403" s="4">
        <v>9.7587999999999998E-3</v>
      </c>
      <c r="N403" s="4" t="s">
        <v>20</v>
      </c>
    </row>
    <row r="404" spans="1:14" ht="17" x14ac:dyDescent="0.35">
      <c r="A404" s="15">
        <v>95.522999999999996</v>
      </c>
      <c r="B404" s="16">
        <v>5.6252000000000004</v>
      </c>
      <c r="C404" s="4">
        <v>0.82662999999999998</v>
      </c>
      <c r="D404" s="4">
        <v>1.2097</v>
      </c>
      <c r="E404" s="4">
        <v>1.7559</v>
      </c>
      <c r="F404" s="4">
        <v>2.4363999999999999</v>
      </c>
      <c r="G404" s="4">
        <v>141.71</v>
      </c>
      <c r="H404" s="4">
        <v>23.286000000000001</v>
      </c>
      <c r="I404" s="4">
        <v>38.521000000000001</v>
      </c>
      <c r="J404" s="4">
        <v>183.06</v>
      </c>
      <c r="K404" s="4">
        <v>1.8887</v>
      </c>
      <c r="L404" s="4">
        <v>6.9847999999999999</v>
      </c>
      <c r="M404" s="4">
        <v>9.8026999999999993E-3</v>
      </c>
      <c r="N404" s="4" t="s">
        <v>20</v>
      </c>
    </row>
    <row r="405" spans="1:14" ht="17" x14ac:dyDescent="0.35">
      <c r="A405" s="15">
        <v>95.756</v>
      </c>
      <c r="B405" s="16">
        <v>5.7252000000000001</v>
      </c>
      <c r="C405" s="4">
        <v>0.84101000000000004</v>
      </c>
      <c r="D405" s="4">
        <v>1.1890000000000001</v>
      </c>
      <c r="E405" s="4">
        <v>1.7574000000000001</v>
      </c>
      <c r="F405" s="4">
        <v>2.4380999999999999</v>
      </c>
      <c r="G405" s="4">
        <v>141.6</v>
      </c>
      <c r="H405" s="4">
        <v>23.317</v>
      </c>
      <c r="I405" s="4">
        <v>38.677999999999997</v>
      </c>
      <c r="J405" s="4">
        <v>183.09</v>
      </c>
      <c r="K405" s="4">
        <v>1.8812</v>
      </c>
      <c r="L405" s="4">
        <v>7.0069999999999997</v>
      </c>
      <c r="M405" s="4">
        <v>9.8463999999999999E-3</v>
      </c>
      <c r="N405" s="4" t="s">
        <v>20</v>
      </c>
    </row>
    <row r="406" spans="1:14" ht="17" x14ac:dyDescent="0.35">
      <c r="A406" s="15">
        <v>95.984999999999999</v>
      </c>
      <c r="B406" s="16">
        <v>5.8251999999999997</v>
      </c>
      <c r="C406" s="4">
        <v>0.85541</v>
      </c>
      <c r="D406" s="4">
        <v>1.169</v>
      </c>
      <c r="E406" s="4">
        <v>1.7587999999999999</v>
      </c>
      <c r="F406" s="4">
        <v>2.4397000000000002</v>
      </c>
      <c r="G406" s="4">
        <v>141.49</v>
      </c>
      <c r="H406" s="4">
        <v>23.347999999999999</v>
      </c>
      <c r="I406" s="4">
        <v>38.837000000000003</v>
      </c>
      <c r="J406" s="4">
        <v>183.12</v>
      </c>
      <c r="K406" s="4">
        <v>1.8738999999999999</v>
      </c>
      <c r="L406" s="4">
        <v>7.0289000000000001</v>
      </c>
      <c r="M406" s="4">
        <v>9.8899999999999995E-3</v>
      </c>
      <c r="N406" s="4" t="s">
        <v>20</v>
      </c>
    </row>
    <row r="407" spans="1:14" ht="17" x14ac:dyDescent="0.35">
      <c r="A407" s="15">
        <v>96.212000000000003</v>
      </c>
      <c r="B407" s="16">
        <v>5.9252000000000002</v>
      </c>
      <c r="C407" s="4">
        <v>0.86982000000000004</v>
      </c>
      <c r="D407" s="4">
        <v>1.1496999999999999</v>
      </c>
      <c r="E407" s="4">
        <v>1.7601</v>
      </c>
      <c r="F407" s="4">
        <v>2.4413</v>
      </c>
      <c r="G407" s="4">
        <v>141.38999999999999</v>
      </c>
      <c r="H407" s="4">
        <v>23.379000000000001</v>
      </c>
      <c r="I407" s="4">
        <v>38.994999999999997</v>
      </c>
      <c r="J407" s="4">
        <v>183.14</v>
      </c>
      <c r="K407" s="4">
        <v>1.8667</v>
      </c>
      <c r="L407" s="4">
        <v>7.0507</v>
      </c>
      <c r="M407" s="4">
        <v>9.9334000000000002E-3</v>
      </c>
      <c r="N407" s="4" t="s">
        <v>20</v>
      </c>
    </row>
    <row r="408" spans="1:14" ht="17" x14ac:dyDescent="0.35">
      <c r="A408" s="15">
        <v>96.436999999999998</v>
      </c>
      <c r="B408" s="16">
        <v>6.0251999999999999</v>
      </c>
      <c r="C408" s="4">
        <v>0.88424999999999998</v>
      </c>
      <c r="D408" s="4">
        <v>1.1309</v>
      </c>
      <c r="E408" s="4">
        <v>1.7614000000000001</v>
      </c>
      <c r="F408" s="4">
        <v>2.4428000000000001</v>
      </c>
      <c r="G408" s="4">
        <v>141.29</v>
      </c>
      <c r="H408" s="4">
        <v>23.41</v>
      </c>
      <c r="I408" s="4">
        <v>39.155000000000001</v>
      </c>
      <c r="J408" s="4">
        <v>183.16</v>
      </c>
      <c r="K408" s="4">
        <v>1.8595999999999999</v>
      </c>
      <c r="L408" s="4">
        <v>7.0723000000000003</v>
      </c>
      <c r="M408" s="4">
        <v>9.9766999999999998E-3</v>
      </c>
      <c r="N408" s="4" t="s">
        <v>20</v>
      </c>
    </row>
    <row r="409" spans="1:14" ht="17" x14ac:dyDescent="0.35">
      <c r="A409" s="15">
        <v>96.658000000000001</v>
      </c>
      <c r="B409" s="16">
        <v>6.1252000000000004</v>
      </c>
      <c r="C409" s="4">
        <v>0.89868999999999999</v>
      </c>
      <c r="D409" s="4">
        <v>1.1127</v>
      </c>
      <c r="E409" s="4">
        <v>1.7625999999999999</v>
      </c>
      <c r="F409" s="4">
        <v>2.4441999999999999</v>
      </c>
      <c r="G409" s="4">
        <v>141.19</v>
      </c>
      <c r="H409" s="4">
        <v>23.440999999999999</v>
      </c>
      <c r="I409" s="4">
        <v>39.314999999999998</v>
      </c>
      <c r="J409" s="4">
        <v>183.18</v>
      </c>
      <c r="K409" s="4">
        <v>1.8527</v>
      </c>
      <c r="L409" s="4">
        <v>7.0937999999999999</v>
      </c>
      <c r="M409" s="4">
        <v>1.0019999999999999E-2</v>
      </c>
      <c r="N409" s="4" t="s">
        <v>20</v>
      </c>
    </row>
    <row r="410" spans="1:14" ht="17" x14ac:dyDescent="0.35">
      <c r="A410" s="15">
        <v>96.876999999999995</v>
      </c>
      <c r="B410" s="16">
        <v>6.2252000000000001</v>
      </c>
      <c r="C410" s="4">
        <v>0.91315999999999997</v>
      </c>
      <c r="D410" s="4">
        <v>1.0951</v>
      </c>
      <c r="E410" s="4">
        <v>1.7638</v>
      </c>
      <c r="F410" s="4">
        <v>2.4455</v>
      </c>
      <c r="G410" s="4">
        <v>141.08000000000001</v>
      </c>
      <c r="H410" s="4">
        <v>23.472000000000001</v>
      </c>
      <c r="I410" s="4">
        <v>39.475999999999999</v>
      </c>
      <c r="J410" s="4">
        <v>183.2</v>
      </c>
      <c r="K410" s="4">
        <v>1.8459000000000001</v>
      </c>
      <c r="L410" s="4">
        <v>7.1151</v>
      </c>
      <c r="M410" s="4">
        <v>1.0063000000000001E-2</v>
      </c>
      <c r="N410" s="4" t="s">
        <v>20</v>
      </c>
    </row>
    <row r="411" spans="1:14" ht="17" x14ac:dyDescent="0.35">
      <c r="A411" s="15">
        <v>97.093999999999994</v>
      </c>
      <c r="B411" s="16">
        <v>6.3251999999999997</v>
      </c>
      <c r="C411" s="4">
        <v>0.92764000000000002</v>
      </c>
      <c r="D411" s="4">
        <v>1.0780000000000001</v>
      </c>
      <c r="E411" s="4">
        <v>1.7648999999999999</v>
      </c>
      <c r="F411" s="4">
        <v>2.4468000000000001</v>
      </c>
      <c r="G411" s="4">
        <v>140.99</v>
      </c>
      <c r="H411" s="4">
        <v>23.501999999999999</v>
      </c>
      <c r="I411" s="4">
        <v>39.637999999999998</v>
      </c>
      <c r="J411" s="4">
        <v>183.22</v>
      </c>
      <c r="K411" s="4">
        <v>1.8391999999999999</v>
      </c>
      <c r="L411" s="4">
        <v>7.1361999999999997</v>
      </c>
      <c r="M411" s="4">
        <v>1.0106E-2</v>
      </c>
      <c r="N411" s="4" t="s">
        <v>20</v>
      </c>
    </row>
    <row r="412" spans="1:14" ht="17" x14ac:dyDescent="0.35">
      <c r="A412" s="15">
        <v>97.308000000000007</v>
      </c>
      <c r="B412" s="16">
        <v>6.4252000000000002</v>
      </c>
      <c r="C412" s="4">
        <v>0.94213000000000002</v>
      </c>
      <c r="D412" s="4">
        <v>1.0613999999999999</v>
      </c>
      <c r="E412" s="4">
        <v>1.766</v>
      </c>
      <c r="F412" s="4">
        <v>2.448</v>
      </c>
      <c r="G412" s="4">
        <v>140.88999999999999</v>
      </c>
      <c r="H412" s="4">
        <v>23.533000000000001</v>
      </c>
      <c r="I412" s="4">
        <v>39.801000000000002</v>
      </c>
      <c r="J412" s="4">
        <v>183.23</v>
      </c>
      <c r="K412" s="4">
        <v>1.8326</v>
      </c>
      <c r="L412" s="4">
        <v>7.1570999999999998</v>
      </c>
      <c r="M412" s="4">
        <v>1.0149E-2</v>
      </c>
      <c r="N412" s="4" t="s">
        <v>20</v>
      </c>
    </row>
    <row r="413" spans="1:14" ht="17" x14ac:dyDescent="0.35">
      <c r="A413" s="15">
        <v>97.519000000000005</v>
      </c>
      <c r="B413" s="16">
        <v>6.5251999999999999</v>
      </c>
      <c r="C413" s="4">
        <v>0.95665</v>
      </c>
      <c r="D413" s="4">
        <v>1.0452999999999999</v>
      </c>
      <c r="E413" s="4">
        <v>1.7670999999999999</v>
      </c>
      <c r="F413" s="4">
        <v>2.4491999999999998</v>
      </c>
      <c r="G413" s="4">
        <v>140.79</v>
      </c>
      <c r="H413" s="4">
        <v>23.564</v>
      </c>
      <c r="I413" s="4">
        <v>39.963999999999999</v>
      </c>
      <c r="J413" s="4">
        <v>183.24</v>
      </c>
      <c r="K413" s="4">
        <v>1.8261000000000001</v>
      </c>
      <c r="L413" s="4">
        <v>7.1779000000000002</v>
      </c>
      <c r="M413" s="4">
        <v>1.0192E-2</v>
      </c>
      <c r="N413" s="4" t="s">
        <v>20</v>
      </c>
    </row>
    <row r="414" spans="1:14" ht="17" x14ac:dyDescent="0.35">
      <c r="A414" s="15">
        <v>97.728999999999999</v>
      </c>
      <c r="B414" s="16">
        <v>6.6252000000000004</v>
      </c>
      <c r="C414" s="4">
        <v>0.97118000000000004</v>
      </c>
      <c r="D414" s="4">
        <v>1.0297000000000001</v>
      </c>
      <c r="E414" s="4">
        <v>1.7681</v>
      </c>
      <c r="F414" s="4">
        <v>2.4502000000000002</v>
      </c>
      <c r="G414" s="4">
        <v>140.69999999999999</v>
      </c>
      <c r="H414" s="4">
        <v>23.594000000000001</v>
      </c>
      <c r="I414" s="4">
        <v>40.128</v>
      </c>
      <c r="J414" s="4">
        <v>183.25</v>
      </c>
      <c r="K414" s="4">
        <v>1.8197000000000001</v>
      </c>
      <c r="L414" s="4">
        <v>7.1985999999999999</v>
      </c>
      <c r="M414" s="4">
        <v>1.0234E-2</v>
      </c>
      <c r="N414" s="4" t="s">
        <v>20</v>
      </c>
    </row>
    <row r="415" spans="1:14" ht="17" x14ac:dyDescent="0.35">
      <c r="A415" s="15">
        <v>97.936000000000007</v>
      </c>
      <c r="B415" s="16">
        <v>6.7252000000000001</v>
      </c>
      <c r="C415" s="4">
        <v>0.98573999999999995</v>
      </c>
      <c r="D415" s="4">
        <v>1.0145</v>
      </c>
      <c r="E415" s="4">
        <v>1.7689999999999999</v>
      </c>
      <c r="F415" s="4">
        <v>2.4512999999999998</v>
      </c>
      <c r="G415" s="4">
        <v>140.6</v>
      </c>
      <c r="H415" s="4">
        <v>23.625</v>
      </c>
      <c r="I415" s="4">
        <v>40.292999999999999</v>
      </c>
      <c r="J415" s="4">
        <v>183.26</v>
      </c>
      <c r="K415" s="4">
        <v>1.8133999999999999</v>
      </c>
      <c r="L415" s="4">
        <v>7.2191000000000001</v>
      </c>
      <c r="M415" s="4">
        <v>1.0277E-2</v>
      </c>
      <c r="N415" s="4" t="s">
        <v>20</v>
      </c>
    </row>
    <row r="416" spans="1:14" ht="17" x14ac:dyDescent="0.35">
      <c r="A416" s="15">
        <v>98.141000000000005</v>
      </c>
      <c r="B416" s="16">
        <v>6.8251999999999997</v>
      </c>
      <c r="C416" s="4">
        <v>1.0003</v>
      </c>
      <c r="D416" s="4">
        <v>0.99968999999999997</v>
      </c>
      <c r="E416" s="4">
        <v>1.7699</v>
      </c>
      <c r="F416" s="4">
        <v>2.4521999999999999</v>
      </c>
      <c r="G416" s="4">
        <v>140.51</v>
      </c>
      <c r="H416" s="4">
        <v>23.655999999999999</v>
      </c>
      <c r="I416" s="4">
        <v>40.459000000000003</v>
      </c>
      <c r="J416" s="4">
        <v>183.27</v>
      </c>
      <c r="K416" s="4">
        <v>1.8071999999999999</v>
      </c>
      <c r="L416" s="4">
        <v>7.2394999999999996</v>
      </c>
      <c r="M416" s="4">
        <v>1.0319999999999999E-2</v>
      </c>
      <c r="N416" s="4" t="s">
        <v>20</v>
      </c>
    </row>
    <row r="417" spans="1:14" ht="17" x14ac:dyDescent="0.35">
      <c r="A417" s="15">
        <v>98.343000000000004</v>
      </c>
      <c r="B417" s="16">
        <v>6.9252000000000002</v>
      </c>
      <c r="C417" s="4">
        <v>1.0148999999999999</v>
      </c>
      <c r="D417" s="4">
        <v>0.98531999999999997</v>
      </c>
      <c r="E417" s="4">
        <v>1.7707999999999999</v>
      </c>
      <c r="F417" s="4">
        <v>2.4531000000000001</v>
      </c>
      <c r="G417" s="4">
        <v>140.41999999999999</v>
      </c>
      <c r="H417" s="4">
        <v>23.686</v>
      </c>
      <c r="I417" s="4">
        <v>40.625999999999998</v>
      </c>
      <c r="J417" s="4">
        <v>183.27</v>
      </c>
      <c r="K417" s="4">
        <v>1.8010999999999999</v>
      </c>
      <c r="L417" s="4">
        <v>7.2596999999999996</v>
      </c>
      <c r="M417" s="4">
        <v>1.0362E-2</v>
      </c>
      <c r="N417" s="4" t="s">
        <v>20</v>
      </c>
    </row>
    <row r="418" spans="1:14" ht="17" x14ac:dyDescent="0.35">
      <c r="A418" s="15">
        <v>98.543999999999997</v>
      </c>
      <c r="B418" s="16">
        <v>7.0251999999999999</v>
      </c>
      <c r="C418" s="4">
        <v>1.0295000000000001</v>
      </c>
      <c r="D418" s="4">
        <v>0.97133000000000003</v>
      </c>
      <c r="E418" s="4">
        <v>1.7716000000000001</v>
      </c>
      <c r="F418" s="4">
        <v>2.4540000000000002</v>
      </c>
      <c r="G418" s="4">
        <v>140.33000000000001</v>
      </c>
      <c r="H418" s="4">
        <v>23.716000000000001</v>
      </c>
      <c r="I418" s="4">
        <v>40.792999999999999</v>
      </c>
      <c r="J418" s="4">
        <v>183.27</v>
      </c>
      <c r="K418" s="4">
        <v>1.7950999999999999</v>
      </c>
      <c r="L418" s="4">
        <v>7.2798999999999996</v>
      </c>
      <c r="M418" s="4">
        <v>1.0404999999999999E-2</v>
      </c>
      <c r="N418" s="4" t="s">
        <v>20</v>
      </c>
    </row>
    <row r="419" spans="1:14" ht="17" x14ac:dyDescent="0.35">
      <c r="A419" s="15">
        <v>98.742000000000004</v>
      </c>
      <c r="B419" s="16">
        <v>7.1252000000000004</v>
      </c>
      <c r="C419" s="4">
        <v>1.0441</v>
      </c>
      <c r="D419" s="4">
        <v>0.95772000000000002</v>
      </c>
      <c r="E419" s="4">
        <v>1.7724</v>
      </c>
      <c r="F419" s="4">
        <v>2.4548000000000001</v>
      </c>
      <c r="G419" s="4">
        <v>140.24</v>
      </c>
      <c r="H419" s="4">
        <v>23.747</v>
      </c>
      <c r="I419" s="4">
        <v>40.962000000000003</v>
      </c>
      <c r="J419" s="4">
        <v>183.28</v>
      </c>
      <c r="K419" s="4">
        <v>1.7891999999999999</v>
      </c>
      <c r="L419" s="4">
        <v>7.2999000000000001</v>
      </c>
      <c r="M419" s="4">
        <v>1.0447E-2</v>
      </c>
      <c r="N419" s="4" t="s">
        <v>20</v>
      </c>
    </row>
    <row r="420" spans="1:14" ht="17" x14ac:dyDescent="0.35">
      <c r="A420" s="15">
        <v>98.938999999999993</v>
      </c>
      <c r="B420" s="16">
        <v>7.2252000000000001</v>
      </c>
      <c r="C420" s="4">
        <v>1.0588</v>
      </c>
      <c r="D420" s="4">
        <v>0.94445999999999997</v>
      </c>
      <c r="E420" s="4">
        <v>1.7730999999999999</v>
      </c>
      <c r="F420" s="4">
        <v>2.4554999999999998</v>
      </c>
      <c r="G420" s="4">
        <v>140.15</v>
      </c>
      <c r="H420" s="4">
        <v>23.777000000000001</v>
      </c>
      <c r="I420" s="4">
        <v>41.131999999999998</v>
      </c>
      <c r="J420" s="4">
        <v>183.28</v>
      </c>
      <c r="K420" s="4">
        <v>1.7834000000000001</v>
      </c>
      <c r="L420" s="4">
        <v>7.3197000000000001</v>
      </c>
      <c r="M420" s="4">
        <v>1.0489999999999999E-2</v>
      </c>
      <c r="N420" s="4" t="s">
        <v>20</v>
      </c>
    </row>
    <row r="421" spans="1:14" ht="17" x14ac:dyDescent="0.35">
      <c r="A421" s="15">
        <v>99.132999999999996</v>
      </c>
      <c r="B421" s="16">
        <v>7.3251999999999997</v>
      </c>
      <c r="C421" s="4">
        <v>1.0734999999999999</v>
      </c>
      <c r="D421" s="4">
        <v>0.93154999999999999</v>
      </c>
      <c r="E421" s="4">
        <v>1.7738</v>
      </c>
      <c r="F421" s="4">
        <v>2.4561999999999999</v>
      </c>
      <c r="G421" s="4">
        <v>140.06</v>
      </c>
      <c r="H421" s="4">
        <v>23.808</v>
      </c>
      <c r="I421" s="4">
        <v>41.302</v>
      </c>
      <c r="J421" s="4">
        <v>183.27</v>
      </c>
      <c r="K421" s="4">
        <v>1.7776000000000001</v>
      </c>
      <c r="L421" s="4">
        <v>7.3395000000000001</v>
      </c>
      <c r="M421" s="4">
        <v>1.0532E-2</v>
      </c>
      <c r="N421" s="4" t="s">
        <v>20</v>
      </c>
    </row>
    <row r="422" spans="1:14" ht="17" x14ac:dyDescent="0.35">
      <c r="A422" s="15">
        <v>99.325999999999993</v>
      </c>
      <c r="B422" s="16">
        <v>7.4252000000000002</v>
      </c>
      <c r="C422" s="4">
        <v>1.0882000000000001</v>
      </c>
      <c r="D422" s="4">
        <v>0.91896999999999995</v>
      </c>
      <c r="E422" s="4">
        <v>1.7745</v>
      </c>
      <c r="F422" s="4">
        <v>2.4567999999999999</v>
      </c>
      <c r="G422" s="4">
        <v>139.97</v>
      </c>
      <c r="H422" s="4">
        <v>23.838000000000001</v>
      </c>
      <c r="I422" s="4">
        <v>41.472999999999999</v>
      </c>
      <c r="J422" s="4">
        <v>183.27</v>
      </c>
      <c r="K422" s="4">
        <v>1.7719</v>
      </c>
      <c r="L422" s="4">
        <v>7.3592000000000004</v>
      </c>
      <c r="M422" s="4">
        <v>1.0574E-2</v>
      </c>
      <c r="N422" s="4" t="s">
        <v>20</v>
      </c>
    </row>
    <row r="423" spans="1:14" ht="17" x14ac:dyDescent="0.35">
      <c r="A423" s="15">
        <v>99.516999999999996</v>
      </c>
      <c r="B423" s="16">
        <v>7.5251999999999999</v>
      </c>
      <c r="C423" s="4">
        <v>1.1029</v>
      </c>
      <c r="D423" s="4">
        <v>0.90669999999999995</v>
      </c>
      <c r="E423" s="4">
        <v>1.7750999999999999</v>
      </c>
      <c r="F423" s="4">
        <v>2.4573999999999998</v>
      </c>
      <c r="G423" s="4">
        <v>139.88999999999999</v>
      </c>
      <c r="H423" s="4">
        <v>23.867999999999999</v>
      </c>
      <c r="I423" s="4">
        <v>41.646000000000001</v>
      </c>
      <c r="J423" s="4">
        <v>183.27</v>
      </c>
      <c r="K423" s="4">
        <v>1.7663</v>
      </c>
      <c r="L423" s="4">
        <v>7.3787000000000003</v>
      </c>
      <c r="M423" s="4">
        <v>1.0617E-2</v>
      </c>
      <c r="N423" s="4" t="s">
        <v>20</v>
      </c>
    </row>
    <row r="424" spans="1:14" ht="17" x14ac:dyDescent="0.35">
      <c r="A424" s="15">
        <v>99.706000000000003</v>
      </c>
      <c r="B424" s="16">
        <v>7.6252000000000004</v>
      </c>
      <c r="C424" s="4">
        <v>1.1175999999999999</v>
      </c>
      <c r="D424" s="4">
        <v>0.89473999999999998</v>
      </c>
      <c r="E424" s="4">
        <v>1.7757000000000001</v>
      </c>
      <c r="F424" s="4">
        <v>2.4579</v>
      </c>
      <c r="G424" s="4">
        <v>139.80000000000001</v>
      </c>
      <c r="H424" s="4">
        <v>23.899000000000001</v>
      </c>
      <c r="I424" s="4">
        <v>41.819000000000003</v>
      </c>
      <c r="J424" s="4">
        <v>183.26</v>
      </c>
      <c r="K424" s="4">
        <v>1.7607999999999999</v>
      </c>
      <c r="L424" s="4">
        <v>7.3981000000000003</v>
      </c>
      <c r="M424" s="4">
        <v>1.0659E-2</v>
      </c>
      <c r="N424" s="4" t="s">
        <v>20</v>
      </c>
    </row>
    <row r="425" spans="1:14" ht="17" x14ac:dyDescent="0.35">
      <c r="A425" s="15">
        <v>99.893000000000001</v>
      </c>
      <c r="B425" s="16">
        <v>7.7252000000000001</v>
      </c>
      <c r="C425" s="4">
        <v>1.1324000000000001</v>
      </c>
      <c r="D425" s="4">
        <v>0.88307000000000002</v>
      </c>
      <c r="E425" s="4">
        <v>1.7762</v>
      </c>
      <c r="F425" s="4">
        <v>2.4584000000000001</v>
      </c>
      <c r="G425" s="4">
        <v>139.72</v>
      </c>
      <c r="H425" s="4">
        <v>23.928999999999998</v>
      </c>
      <c r="I425" s="4">
        <v>41.994</v>
      </c>
      <c r="J425" s="4">
        <v>183.25</v>
      </c>
      <c r="K425" s="4">
        <v>1.7554000000000001</v>
      </c>
      <c r="L425" s="4">
        <v>7.4173999999999998</v>
      </c>
      <c r="M425" s="4">
        <v>1.0701E-2</v>
      </c>
      <c r="N425" s="4" t="s">
        <v>20</v>
      </c>
    </row>
    <row r="426" spans="1:14" ht="17" x14ac:dyDescent="0.35">
      <c r="A426" s="15">
        <v>100.08</v>
      </c>
      <c r="B426" s="16">
        <v>7.8251999999999997</v>
      </c>
      <c r="C426" s="4">
        <v>1.1472</v>
      </c>
      <c r="D426" s="4">
        <v>0.87168999999999996</v>
      </c>
      <c r="E426" s="4">
        <v>1.7766999999999999</v>
      </c>
      <c r="F426" s="4">
        <v>2.4588000000000001</v>
      </c>
      <c r="G426" s="4">
        <v>139.63999999999999</v>
      </c>
      <c r="H426" s="4">
        <v>23.959</v>
      </c>
      <c r="I426" s="4">
        <v>42.168999999999997</v>
      </c>
      <c r="J426" s="4">
        <v>183.25</v>
      </c>
      <c r="K426" s="4">
        <v>1.75</v>
      </c>
      <c r="L426" s="4">
        <v>7.4367000000000001</v>
      </c>
      <c r="M426" s="4">
        <v>1.0744E-2</v>
      </c>
      <c r="N426" s="4" t="s">
        <v>20</v>
      </c>
    </row>
    <row r="427" spans="1:14" ht="17" x14ac:dyDescent="0.35">
      <c r="A427" s="15">
        <v>100.26</v>
      </c>
      <c r="B427" s="16">
        <v>7.9252000000000002</v>
      </c>
      <c r="C427" s="4">
        <v>1.1619999999999999</v>
      </c>
      <c r="D427" s="4">
        <v>0.86056999999999995</v>
      </c>
      <c r="E427" s="4">
        <v>1.7771999999999999</v>
      </c>
      <c r="F427" s="4">
        <v>2.4592000000000001</v>
      </c>
      <c r="G427" s="4">
        <v>139.55000000000001</v>
      </c>
      <c r="H427" s="4">
        <v>23.989000000000001</v>
      </c>
      <c r="I427" s="4">
        <v>42.344999999999999</v>
      </c>
      <c r="J427" s="4">
        <v>183.24</v>
      </c>
      <c r="K427" s="4">
        <v>1.7446999999999999</v>
      </c>
      <c r="L427" s="4">
        <v>7.4558</v>
      </c>
      <c r="M427" s="4">
        <v>1.0786E-2</v>
      </c>
      <c r="N427" s="4" t="s">
        <v>20</v>
      </c>
    </row>
    <row r="428" spans="1:14" ht="17" x14ac:dyDescent="0.35">
      <c r="A428" s="15">
        <v>100.44</v>
      </c>
      <c r="B428" s="16">
        <v>8.0251999999999999</v>
      </c>
      <c r="C428" s="4">
        <v>1.1769000000000001</v>
      </c>
      <c r="D428" s="4">
        <v>0.84972000000000003</v>
      </c>
      <c r="E428" s="4">
        <v>1.7776000000000001</v>
      </c>
      <c r="F428" s="4">
        <v>2.4594999999999998</v>
      </c>
      <c r="G428" s="4">
        <v>139.47</v>
      </c>
      <c r="H428" s="4">
        <v>24.018999999999998</v>
      </c>
      <c r="I428" s="4">
        <v>42.523000000000003</v>
      </c>
      <c r="J428" s="4">
        <v>183.23</v>
      </c>
      <c r="K428" s="4">
        <v>1.7394000000000001</v>
      </c>
      <c r="L428" s="4">
        <v>7.4748000000000001</v>
      </c>
      <c r="M428" s="4">
        <v>1.0828000000000001E-2</v>
      </c>
      <c r="N428" s="4" t="s">
        <v>20</v>
      </c>
    </row>
    <row r="429" spans="1:14" ht="17" x14ac:dyDescent="0.35">
      <c r="A429" s="15">
        <v>100.62</v>
      </c>
      <c r="B429" s="16">
        <v>8.1251999999999995</v>
      </c>
      <c r="C429" s="4">
        <v>1.1917</v>
      </c>
      <c r="D429" s="4">
        <v>0.83911999999999998</v>
      </c>
      <c r="E429" s="4">
        <v>1.778</v>
      </c>
      <c r="F429" s="4">
        <v>2.4598</v>
      </c>
      <c r="G429" s="4">
        <v>139.38999999999999</v>
      </c>
      <c r="H429" s="4">
        <v>24.05</v>
      </c>
      <c r="I429" s="4">
        <v>42.701999999999998</v>
      </c>
      <c r="J429" s="4">
        <v>183.21</v>
      </c>
      <c r="K429" s="4">
        <v>1.7343</v>
      </c>
      <c r="L429" s="4">
        <v>7.4938000000000002</v>
      </c>
      <c r="M429" s="4">
        <v>1.0871E-2</v>
      </c>
      <c r="N429" s="4" t="s">
        <v>20</v>
      </c>
    </row>
    <row r="430" spans="1:14" ht="17" x14ac:dyDescent="0.35">
      <c r="A430" s="15">
        <v>100.8</v>
      </c>
      <c r="B430" s="16">
        <v>8.2251999999999992</v>
      </c>
      <c r="C430" s="4">
        <v>1.2065999999999999</v>
      </c>
      <c r="D430" s="4">
        <v>0.82877000000000001</v>
      </c>
      <c r="E430" s="4">
        <v>1.7784</v>
      </c>
      <c r="F430" s="4">
        <v>2.4601000000000002</v>
      </c>
      <c r="G430" s="4">
        <v>139.31</v>
      </c>
      <c r="H430" s="4">
        <v>24.08</v>
      </c>
      <c r="I430" s="4">
        <v>42.881</v>
      </c>
      <c r="J430" s="4">
        <v>183.2</v>
      </c>
      <c r="K430" s="4">
        <v>1.7291000000000001</v>
      </c>
      <c r="L430" s="4">
        <v>7.5125999999999999</v>
      </c>
      <c r="M430" s="4">
        <v>1.0913000000000001E-2</v>
      </c>
      <c r="N430" s="4" t="s">
        <v>20</v>
      </c>
    </row>
    <row r="431" spans="1:14" ht="17" x14ac:dyDescent="0.35">
      <c r="A431" s="15">
        <v>100.98</v>
      </c>
      <c r="B431" s="16">
        <v>8.3252000000000006</v>
      </c>
      <c r="C431" s="4">
        <v>1.2215</v>
      </c>
      <c r="D431" s="4">
        <v>0.81864999999999999</v>
      </c>
      <c r="E431" s="4">
        <v>1.7786999999999999</v>
      </c>
      <c r="F431" s="4">
        <v>2.4603000000000002</v>
      </c>
      <c r="G431" s="4">
        <v>139.22999999999999</v>
      </c>
      <c r="H431" s="4">
        <v>24.11</v>
      </c>
      <c r="I431" s="4">
        <v>43.061999999999998</v>
      </c>
      <c r="J431" s="4">
        <v>183.19</v>
      </c>
      <c r="K431" s="4">
        <v>1.7241</v>
      </c>
      <c r="L431" s="4">
        <v>7.5313999999999997</v>
      </c>
      <c r="M431" s="4">
        <v>1.0954999999999999E-2</v>
      </c>
      <c r="N431" s="4" t="s">
        <v>20</v>
      </c>
    </row>
    <row r="432" spans="1:14" ht="17" x14ac:dyDescent="0.35">
      <c r="A432" s="15">
        <v>101.16</v>
      </c>
      <c r="B432" s="16">
        <v>8.4252000000000002</v>
      </c>
      <c r="C432" s="4">
        <v>1.2364999999999999</v>
      </c>
      <c r="D432" s="4">
        <v>0.80876000000000003</v>
      </c>
      <c r="E432" s="4">
        <v>1.7789999999999999</v>
      </c>
      <c r="F432" s="4">
        <v>2.4603999999999999</v>
      </c>
      <c r="G432" s="4">
        <v>139.15</v>
      </c>
      <c r="H432" s="4">
        <v>24.14</v>
      </c>
      <c r="I432" s="4">
        <v>43.244</v>
      </c>
      <c r="J432" s="4">
        <v>183.17</v>
      </c>
      <c r="K432" s="4">
        <v>1.7191000000000001</v>
      </c>
      <c r="L432" s="4">
        <v>7.5500999999999996</v>
      </c>
      <c r="M432" s="4">
        <v>1.0998000000000001E-2</v>
      </c>
      <c r="N432" s="4" t="s">
        <v>20</v>
      </c>
    </row>
    <row r="433" spans="1:14" ht="17" x14ac:dyDescent="0.35">
      <c r="A433" s="15">
        <v>101.33</v>
      </c>
      <c r="B433" s="16">
        <v>8.5251999999999999</v>
      </c>
      <c r="C433" s="4">
        <v>1.2514000000000001</v>
      </c>
      <c r="D433" s="4">
        <v>0.79908999999999997</v>
      </c>
      <c r="E433" s="4">
        <v>1.7793000000000001</v>
      </c>
      <c r="F433" s="4">
        <v>2.4605000000000001</v>
      </c>
      <c r="G433" s="4">
        <v>139.07</v>
      </c>
      <c r="H433" s="4">
        <v>24.17</v>
      </c>
      <c r="I433" s="4">
        <v>43.427</v>
      </c>
      <c r="J433" s="4">
        <v>183.15</v>
      </c>
      <c r="K433" s="4">
        <v>1.7141999999999999</v>
      </c>
      <c r="L433" s="4">
        <v>7.5686999999999998</v>
      </c>
      <c r="M433" s="4">
        <v>1.1039999999999999E-2</v>
      </c>
      <c r="N433" s="4" t="s">
        <v>20</v>
      </c>
    </row>
    <row r="434" spans="1:14" ht="17" x14ac:dyDescent="0.35">
      <c r="A434" s="15">
        <v>101.5</v>
      </c>
      <c r="B434" s="16">
        <v>8.6251999999999995</v>
      </c>
      <c r="C434" s="4">
        <v>1.2664</v>
      </c>
      <c r="D434" s="4">
        <v>0.78963000000000005</v>
      </c>
      <c r="E434" s="4">
        <v>1.7796000000000001</v>
      </c>
      <c r="F434" s="4">
        <v>2.4605999999999999</v>
      </c>
      <c r="G434" s="4">
        <v>138.99</v>
      </c>
      <c r="H434" s="4">
        <v>24.2</v>
      </c>
      <c r="I434" s="4">
        <v>43.610999999999997</v>
      </c>
      <c r="J434" s="4">
        <v>183.13</v>
      </c>
      <c r="K434" s="4">
        <v>1.7093</v>
      </c>
      <c r="L434" s="4">
        <v>7.5872000000000002</v>
      </c>
      <c r="M434" s="4">
        <v>1.1083000000000001E-2</v>
      </c>
      <c r="N434" s="4" t="s">
        <v>20</v>
      </c>
    </row>
    <row r="435" spans="1:14" ht="17" x14ac:dyDescent="0.35">
      <c r="A435" s="15">
        <v>101.68</v>
      </c>
      <c r="B435" s="16">
        <v>8.7251999999999992</v>
      </c>
      <c r="C435" s="4">
        <v>1.2814000000000001</v>
      </c>
      <c r="D435" s="4">
        <v>0.78037000000000001</v>
      </c>
      <c r="E435" s="4">
        <v>1.7798</v>
      </c>
      <c r="F435" s="4">
        <v>2.4607000000000001</v>
      </c>
      <c r="G435" s="4">
        <v>138.91999999999999</v>
      </c>
      <c r="H435" s="4">
        <v>24.23</v>
      </c>
      <c r="I435" s="4">
        <v>43.796999999999997</v>
      </c>
      <c r="J435" s="4">
        <v>183.12</v>
      </c>
      <c r="K435" s="4">
        <v>1.7043999999999999</v>
      </c>
      <c r="L435" s="4">
        <v>7.6056999999999997</v>
      </c>
      <c r="M435" s="4">
        <v>1.1124999999999999E-2</v>
      </c>
      <c r="N435" s="4" t="s">
        <v>20</v>
      </c>
    </row>
    <row r="436" spans="1:14" ht="17" x14ac:dyDescent="0.35">
      <c r="A436" s="15">
        <v>101.85</v>
      </c>
      <c r="B436" s="16">
        <v>8.8252000000000006</v>
      </c>
      <c r="C436" s="4">
        <v>1.2965</v>
      </c>
      <c r="D436" s="4">
        <v>0.77132000000000001</v>
      </c>
      <c r="E436" s="4">
        <v>1.7799</v>
      </c>
      <c r="F436" s="4">
        <v>2.4605999999999999</v>
      </c>
      <c r="G436" s="4">
        <v>138.84</v>
      </c>
      <c r="H436" s="4">
        <v>24.26</v>
      </c>
      <c r="I436" s="4">
        <v>43.982999999999997</v>
      </c>
      <c r="J436" s="4">
        <v>183.1</v>
      </c>
      <c r="K436" s="4">
        <v>1.6997</v>
      </c>
      <c r="L436" s="4">
        <v>7.6239999999999997</v>
      </c>
      <c r="M436" s="4">
        <v>1.1168000000000001E-2</v>
      </c>
      <c r="N436" s="4" t="s">
        <v>20</v>
      </c>
    </row>
    <row r="437" spans="1:14" ht="17" x14ac:dyDescent="0.35">
      <c r="A437" s="15">
        <v>102.01</v>
      </c>
      <c r="B437" s="16">
        <v>8.9252000000000002</v>
      </c>
      <c r="C437" s="4">
        <v>1.3116000000000001</v>
      </c>
      <c r="D437" s="4">
        <v>0.76244999999999996</v>
      </c>
      <c r="E437" s="4">
        <v>1.7801</v>
      </c>
      <c r="F437" s="4">
        <v>2.4605999999999999</v>
      </c>
      <c r="G437" s="4">
        <v>138.77000000000001</v>
      </c>
      <c r="H437" s="4">
        <v>24.29</v>
      </c>
      <c r="I437" s="4">
        <v>44.170999999999999</v>
      </c>
      <c r="J437" s="4">
        <v>183.07</v>
      </c>
      <c r="K437" s="4">
        <v>1.6949000000000001</v>
      </c>
      <c r="L437" s="4">
        <v>7.6422999999999996</v>
      </c>
      <c r="M437" s="4">
        <v>1.1209999999999999E-2</v>
      </c>
      <c r="N437" s="4" t="s">
        <v>20</v>
      </c>
    </row>
    <row r="438" spans="1:14" ht="17" x14ac:dyDescent="0.35">
      <c r="A438" s="15">
        <v>102.18</v>
      </c>
      <c r="B438" s="16">
        <v>9.0251999999999999</v>
      </c>
      <c r="C438" s="4">
        <v>1.3267</v>
      </c>
      <c r="D438" s="4">
        <v>0.75377000000000005</v>
      </c>
      <c r="E438" s="4">
        <v>1.7802</v>
      </c>
      <c r="F438" s="4">
        <v>2.4605000000000001</v>
      </c>
      <c r="G438" s="4">
        <v>138.69</v>
      </c>
      <c r="H438" s="4">
        <v>24.32</v>
      </c>
      <c r="I438" s="4">
        <v>44.36</v>
      </c>
      <c r="J438" s="4">
        <v>183.05</v>
      </c>
      <c r="K438" s="4">
        <v>1.6902999999999999</v>
      </c>
      <c r="L438" s="4">
        <v>7.6605999999999996</v>
      </c>
      <c r="M438" s="4">
        <v>1.1253000000000001E-2</v>
      </c>
      <c r="N438" s="4" t="s">
        <v>20</v>
      </c>
    </row>
    <row r="439" spans="1:14" ht="17" x14ac:dyDescent="0.35">
      <c r="A439" s="15">
        <v>102.35</v>
      </c>
      <c r="B439" s="16">
        <v>9.1251999999999995</v>
      </c>
      <c r="C439" s="4">
        <v>1.3418000000000001</v>
      </c>
      <c r="D439" s="4">
        <v>0.74526999999999999</v>
      </c>
      <c r="E439" s="4">
        <v>1.7803</v>
      </c>
      <c r="F439" s="4">
        <v>2.4603999999999999</v>
      </c>
      <c r="G439" s="4">
        <v>138.62</v>
      </c>
      <c r="H439" s="4">
        <v>24.35</v>
      </c>
      <c r="I439" s="4">
        <v>44.551000000000002</v>
      </c>
      <c r="J439" s="4">
        <v>183.03</v>
      </c>
      <c r="K439" s="4">
        <v>1.6856</v>
      </c>
      <c r="L439" s="4">
        <v>7.6787000000000001</v>
      </c>
      <c r="M439" s="4">
        <v>1.1296E-2</v>
      </c>
      <c r="N439" s="4" t="s">
        <v>20</v>
      </c>
    </row>
    <row r="440" spans="1:14" ht="17" x14ac:dyDescent="0.35">
      <c r="A440" s="15">
        <v>102.51</v>
      </c>
      <c r="B440" s="16">
        <v>9.2251999999999992</v>
      </c>
      <c r="C440" s="4">
        <v>1.3569</v>
      </c>
      <c r="D440" s="4">
        <v>0.73694999999999999</v>
      </c>
      <c r="E440" s="4">
        <v>1.7804</v>
      </c>
      <c r="F440" s="4">
        <v>2.4601999999999999</v>
      </c>
      <c r="G440" s="4">
        <v>138.54</v>
      </c>
      <c r="H440" s="4">
        <v>24.38</v>
      </c>
      <c r="I440" s="4">
        <v>44.741999999999997</v>
      </c>
      <c r="J440" s="4">
        <v>183.01</v>
      </c>
      <c r="K440" s="4">
        <v>1.6811</v>
      </c>
      <c r="L440" s="4">
        <v>7.6967999999999996</v>
      </c>
      <c r="M440" s="4">
        <v>1.1338000000000001E-2</v>
      </c>
      <c r="N440" s="4" t="s">
        <v>20</v>
      </c>
    </row>
    <row r="441" spans="1:14" ht="17" x14ac:dyDescent="0.35">
      <c r="A441" s="15">
        <v>102.68</v>
      </c>
      <c r="B441" s="16">
        <v>9.3252000000000006</v>
      </c>
      <c r="C441" s="4">
        <v>1.3721000000000001</v>
      </c>
      <c r="D441" s="4">
        <v>0.72879000000000005</v>
      </c>
      <c r="E441" s="4">
        <v>1.7804</v>
      </c>
      <c r="F441" s="4">
        <v>2.46</v>
      </c>
      <c r="G441" s="4">
        <v>138.47</v>
      </c>
      <c r="H441" s="4">
        <v>24.41</v>
      </c>
      <c r="I441" s="4">
        <v>44.935000000000002</v>
      </c>
      <c r="J441" s="4">
        <v>182.98</v>
      </c>
      <c r="K441" s="4">
        <v>1.6765000000000001</v>
      </c>
      <c r="L441" s="4">
        <v>7.7149000000000001</v>
      </c>
      <c r="M441" s="4">
        <v>1.1381E-2</v>
      </c>
      <c r="N441" s="4" t="s">
        <v>20</v>
      </c>
    </row>
    <row r="442" spans="1:14" ht="17" x14ac:dyDescent="0.35">
      <c r="A442" s="15">
        <v>102.84</v>
      </c>
      <c r="B442" s="16">
        <v>9.4252000000000002</v>
      </c>
      <c r="C442" s="4">
        <v>1.3873</v>
      </c>
      <c r="D442" s="4">
        <v>0.7208</v>
      </c>
      <c r="E442" s="4">
        <v>1.7804</v>
      </c>
      <c r="F442" s="4">
        <v>2.4598</v>
      </c>
      <c r="G442" s="4">
        <v>138.4</v>
      </c>
      <c r="H442" s="4">
        <v>24.44</v>
      </c>
      <c r="I442" s="4">
        <v>45.128999999999998</v>
      </c>
      <c r="J442" s="4">
        <v>182.96</v>
      </c>
      <c r="K442" s="4">
        <v>1.6719999999999999</v>
      </c>
      <c r="L442" s="4">
        <v>7.7328999999999999</v>
      </c>
      <c r="M442" s="4">
        <v>1.1424E-2</v>
      </c>
      <c r="N442" s="4" t="s">
        <v>20</v>
      </c>
    </row>
    <row r="443" spans="1:14" ht="17" x14ac:dyDescent="0.35">
      <c r="A443" s="15">
        <v>103</v>
      </c>
      <c r="B443" s="16">
        <v>9.5251999999999999</v>
      </c>
      <c r="C443" s="4">
        <v>1.4026000000000001</v>
      </c>
      <c r="D443" s="4">
        <v>0.71296000000000004</v>
      </c>
      <c r="E443" s="4">
        <v>1.7804</v>
      </c>
      <c r="F443" s="4">
        <v>2.4594999999999998</v>
      </c>
      <c r="G443" s="4">
        <v>138.32</v>
      </c>
      <c r="H443" s="4">
        <v>24.47</v>
      </c>
      <c r="I443" s="4">
        <v>45.325000000000003</v>
      </c>
      <c r="J443" s="4">
        <v>182.93</v>
      </c>
      <c r="K443" s="4">
        <v>1.6676</v>
      </c>
      <c r="L443" s="4">
        <v>7.7507999999999999</v>
      </c>
      <c r="M443" s="4">
        <v>1.1467E-2</v>
      </c>
      <c r="N443" s="4" t="s">
        <v>20</v>
      </c>
    </row>
    <row r="444" spans="1:14" ht="17" x14ac:dyDescent="0.35">
      <c r="A444" s="15">
        <v>103.16</v>
      </c>
      <c r="B444" s="16">
        <v>9.6251999999999995</v>
      </c>
      <c r="C444" s="4">
        <v>1.4178999999999999</v>
      </c>
      <c r="D444" s="4">
        <v>0.70528000000000002</v>
      </c>
      <c r="E444" s="4">
        <v>1.7804</v>
      </c>
      <c r="F444" s="4">
        <v>2.4592000000000001</v>
      </c>
      <c r="G444" s="4">
        <v>138.25</v>
      </c>
      <c r="H444" s="4">
        <v>24.5</v>
      </c>
      <c r="I444" s="4">
        <v>45.521999999999998</v>
      </c>
      <c r="J444" s="4">
        <v>182.9</v>
      </c>
      <c r="K444" s="4">
        <v>1.6632</v>
      </c>
      <c r="L444" s="4">
        <v>7.7686000000000002</v>
      </c>
      <c r="M444" s="4">
        <v>1.1509999999999999E-2</v>
      </c>
      <c r="N444" s="4" t="s">
        <v>20</v>
      </c>
    </row>
    <row r="445" spans="1:14" ht="17" x14ac:dyDescent="0.35">
      <c r="A445" s="15">
        <v>103.32</v>
      </c>
      <c r="B445" s="16">
        <v>9.7251999999999992</v>
      </c>
      <c r="C445" s="4">
        <v>1.4332</v>
      </c>
      <c r="D445" s="4">
        <v>0.69774999999999998</v>
      </c>
      <c r="E445" s="4">
        <v>1.7803</v>
      </c>
      <c r="F445" s="4">
        <v>2.4588999999999999</v>
      </c>
      <c r="G445" s="4">
        <v>138.18</v>
      </c>
      <c r="H445" s="4">
        <v>24.53</v>
      </c>
      <c r="I445" s="4">
        <v>45.72</v>
      </c>
      <c r="J445" s="4">
        <v>182.87</v>
      </c>
      <c r="K445" s="4">
        <v>1.6589</v>
      </c>
      <c r="L445" s="4">
        <v>7.7864000000000004</v>
      </c>
      <c r="M445" s="4">
        <v>1.1553000000000001E-2</v>
      </c>
      <c r="N445" s="4" t="s">
        <v>20</v>
      </c>
    </row>
    <row r="446" spans="1:14" ht="17" x14ac:dyDescent="0.35">
      <c r="A446" s="15">
        <v>103.47</v>
      </c>
      <c r="B446" s="16">
        <v>9.8252000000000006</v>
      </c>
      <c r="C446" s="4">
        <v>1.4484999999999999</v>
      </c>
      <c r="D446" s="4">
        <v>0.69035999999999997</v>
      </c>
      <c r="E446" s="4">
        <v>1.7802</v>
      </c>
      <c r="F446" s="4">
        <v>2.4584999999999999</v>
      </c>
      <c r="G446" s="4">
        <v>138.11000000000001</v>
      </c>
      <c r="H446" s="4">
        <v>24.56</v>
      </c>
      <c r="I446" s="4">
        <v>45.918999999999997</v>
      </c>
      <c r="J446" s="4">
        <v>182.84</v>
      </c>
      <c r="K446" s="4">
        <v>1.6545000000000001</v>
      </c>
      <c r="L446" s="4">
        <v>7.8041999999999998</v>
      </c>
      <c r="M446" s="4">
        <v>1.1596E-2</v>
      </c>
      <c r="N446" s="4" t="s">
        <v>20</v>
      </c>
    </row>
    <row r="447" spans="1:14" ht="17" x14ac:dyDescent="0.35">
      <c r="A447" s="15">
        <v>103.63</v>
      </c>
      <c r="B447" s="16">
        <v>9.9252000000000002</v>
      </c>
      <c r="C447" s="4">
        <v>1.4639</v>
      </c>
      <c r="D447" s="4">
        <v>0.68310999999999999</v>
      </c>
      <c r="E447" s="4">
        <v>1.7801</v>
      </c>
      <c r="F447" s="4">
        <v>2.4581</v>
      </c>
      <c r="G447" s="4">
        <v>138.04</v>
      </c>
      <c r="H447" s="4">
        <v>24.59</v>
      </c>
      <c r="I447" s="4">
        <v>46.12</v>
      </c>
      <c r="J447" s="4">
        <v>182.81</v>
      </c>
      <c r="K447" s="4">
        <v>1.6503000000000001</v>
      </c>
      <c r="L447" s="4">
        <v>7.8219000000000003</v>
      </c>
      <c r="M447" s="4">
        <v>1.1639E-2</v>
      </c>
      <c r="N447" s="4" t="s">
        <v>20</v>
      </c>
    </row>
    <row r="448" spans="1:14" ht="17" x14ac:dyDescent="0.35">
      <c r="A448" s="15">
        <v>103.79</v>
      </c>
      <c r="B448" s="16">
        <v>10.025</v>
      </c>
      <c r="C448" s="4">
        <v>1.4793000000000001</v>
      </c>
      <c r="D448" s="4">
        <v>0.67600000000000005</v>
      </c>
      <c r="E448" s="4">
        <v>1.7799</v>
      </c>
      <c r="F448" s="4">
        <v>2.4575999999999998</v>
      </c>
      <c r="G448" s="4">
        <v>137.97</v>
      </c>
      <c r="H448" s="4">
        <v>24.62</v>
      </c>
      <c r="I448" s="4">
        <v>46.323</v>
      </c>
      <c r="J448" s="4">
        <v>182.78</v>
      </c>
      <c r="K448" s="4">
        <v>1.6459999999999999</v>
      </c>
      <c r="L448" s="4">
        <v>7.8395000000000001</v>
      </c>
      <c r="M448" s="4">
        <v>1.1682E-2</v>
      </c>
      <c r="N448" s="4" t="s">
        <v>20</v>
      </c>
    </row>
    <row r="449" spans="1:14" ht="17" x14ac:dyDescent="0.35">
      <c r="A449" s="15">
        <v>103.94</v>
      </c>
      <c r="B449" s="16">
        <v>10.125</v>
      </c>
      <c r="C449" s="4">
        <v>1.4946999999999999</v>
      </c>
      <c r="D449" s="4">
        <v>0.66901999999999995</v>
      </c>
      <c r="E449" s="4">
        <v>1.7797000000000001</v>
      </c>
      <c r="F449" s="4">
        <v>2.4571000000000001</v>
      </c>
      <c r="G449" s="4">
        <v>137.9</v>
      </c>
      <c r="H449" s="4">
        <v>24.65</v>
      </c>
      <c r="I449" s="4">
        <v>46.526000000000003</v>
      </c>
      <c r="J449" s="4">
        <v>182.75</v>
      </c>
      <c r="K449" s="4">
        <v>1.6417999999999999</v>
      </c>
      <c r="L449" s="4">
        <v>7.8571</v>
      </c>
      <c r="M449" s="4">
        <v>1.1726E-2</v>
      </c>
      <c r="N449" s="4" t="s">
        <v>20</v>
      </c>
    </row>
    <row r="450" spans="1:14" ht="17" x14ac:dyDescent="0.35">
      <c r="A450" s="15">
        <v>104.09</v>
      </c>
      <c r="B450" s="16">
        <v>10.225</v>
      </c>
      <c r="C450" s="4">
        <v>1.5102</v>
      </c>
      <c r="D450" s="4">
        <v>0.66217000000000004</v>
      </c>
      <c r="E450" s="4">
        <v>1.7795000000000001</v>
      </c>
      <c r="F450" s="4">
        <v>2.4565999999999999</v>
      </c>
      <c r="G450" s="4">
        <v>137.83000000000001</v>
      </c>
      <c r="H450" s="4">
        <v>24.68</v>
      </c>
      <c r="I450" s="4">
        <v>46.731999999999999</v>
      </c>
      <c r="J450" s="4">
        <v>182.72</v>
      </c>
      <c r="K450" s="4">
        <v>1.6376999999999999</v>
      </c>
      <c r="L450" s="4">
        <v>7.8746999999999998</v>
      </c>
      <c r="M450" s="4">
        <v>1.1769E-2</v>
      </c>
      <c r="N450" s="4" t="s">
        <v>20</v>
      </c>
    </row>
    <row r="451" spans="1:14" ht="17" x14ac:dyDescent="0.35">
      <c r="A451" s="15">
        <v>104.24</v>
      </c>
      <c r="B451" s="16">
        <v>10.324999999999999</v>
      </c>
      <c r="C451" s="4">
        <v>1.5257000000000001</v>
      </c>
      <c r="D451" s="4">
        <v>0.65544999999999998</v>
      </c>
      <c r="E451" s="4">
        <v>1.7793000000000001</v>
      </c>
      <c r="F451" s="4">
        <v>2.4561000000000002</v>
      </c>
      <c r="G451" s="4">
        <v>137.76</v>
      </c>
      <c r="H451" s="4">
        <v>24.709</v>
      </c>
      <c r="I451" s="4">
        <v>46.938000000000002</v>
      </c>
      <c r="J451" s="4">
        <v>182.69</v>
      </c>
      <c r="K451" s="4">
        <v>1.6335999999999999</v>
      </c>
      <c r="L451" s="4">
        <v>7.8921999999999999</v>
      </c>
      <c r="M451" s="4">
        <v>1.1813000000000001E-2</v>
      </c>
      <c r="N451" s="4" t="s">
        <v>20</v>
      </c>
    </row>
    <row r="452" spans="1:14" ht="17" x14ac:dyDescent="0.35">
      <c r="A452" s="15">
        <v>104.4</v>
      </c>
      <c r="B452" s="16">
        <v>10.425000000000001</v>
      </c>
      <c r="C452" s="4">
        <v>1.5411999999999999</v>
      </c>
      <c r="D452" s="4">
        <v>0.64883999999999997</v>
      </c>
      <c r="E452" s="4">
        <v>1.7790999999999999</v>
      </c>
      <c r="F452" s="4">
        <v>2.4554999999999998</v>
      </c>
      <c r="G452" s="4">
        <v>137.69</v>
      </c>
      <c r="H452" s="4">
        <v>24.739000000000001</v>
      </c>
      <c r="I452" s="4">
        <v>47.146999999999998</v>
      </c>
      <c r="J452" s="4">
        <v>182.65</v>
      </c>
      <c r="K452" s="4">
        <v>1.6294999999999999</v>
      </c>
      <c r="L452" s="4">
        <v>7.9096000000000002</v>
      </c>
      <c r="M452" s="4">
        <v>1.1856E-2</v>
      </c>
      <c r="N452" s="4" t="s">
        <v>20</v>
      </c>
    </row>
    <row r="453" spans="1:14" ht="17" x14ac:dyDescent="0.35">
      <c r="A453" s="15">
        <v>104.55</v>
      </c>
      <c r="B453" s="16">
        <v>10.525</v>
      </c>
      <c r="C453" s="4">
        <v>1.5568</v>
      </c>
      <c r="D453" s="4">
        <v>0.64236000000000004</v>
      </c>
      <c r="E453" s="4">
        <v>1.7787999999999999</v>
      </c>
      <c r="F453" s="4">
        <v>2.4548999999999999</v>
      </c>
      <c r="G453" s="4">
        <v>137.63</v>
      </c>
      <c r="H453" s="4">
        <v>24.768999999999998</v>
      </c>
      <c r="I453" s="4">
        <v>47.356999999999999</v>
      </c>
      <c r="J453" s="4">
        <v>182.62</v>
      </c>
      <c r="K453" s="4">
        <v>1.6254</v>
      </c>
      <c r="L453" s="4">
        <v>7.9269999999999996</v>
      </c>
      <c r="M453" s="4">
        <v>1.1900000000000001E-2</v>
      </c>
      <c r="N453" s="4" t="s">
        <v>20</v>
      </c>
    </row>
    <row r="454" spans="1:14" ht="17" x14ac:dyDescent="0.35">
      <c r="A454" s="15">
        <v>104.69</v>
      </c>
      <c r="B454" s="16">
        <v>10.625</v>
      </c>
      <c r="C454" s="4">
        <v>1.5724</v>
      </c>
      <c r="D454" s="4">
        <v>0.63599000000000006</v>
      </c>
      <c r="E454" s="4">
        <v>1.7785</v>
      </c>
      <c r="F454" s="4">
        <v>2.4542000000000002</v>
      </c>
      <c r="G454" s="4">
        <v>137.56</v>
      </c>
      <c r="H454" s="4">
        <v>24.798999999999999</v>
      </c>
      <c r="I454" s="4">
        <v>47.567999999999998</v>
      </c>
      <c r="J454" s="4">
        <v>182.58</v>
      </c>
      <c r="K454" s="4">
        <v>1.6214</v>
      </c>
      <c r="L454" s="4">
        <v>7.9443999999999999</v>
      </c>
      <c r="M454" s="4">
        <v>1.1944E-2</v>
      </c>
      <c r="N454" s="4" t="s">
        <v>20</v>
      </c>
    </row>
    <row r="455" spans="1:14" ht="17" x14ac:dyDescent="0.35">
      <c r="A455" s="15">
        <v>104.84</v>
      </c>
      <c r="B455" s="16">
        <v>10.725</v>
      </c>
      <c r="C455" s="4">
        <v>1.5880000000000001</v>
      </c>
      <c r="D455" s="4">
        <v>0.62973000000000001</v>
      </c>
      <c r="E455" s="4">
        <v>1.7782</v>
      </c>
      <c r="F455" s="4">
        <v>2.4535999999999998</v>
      </c>
      <c r="G455" s="4">
        <v>137.49</v>
      </c>
      <c r="H455" s="4">
        <v>24.827999999999999</v>
      </c>
      <c r="I455" s="4">
        <v>47.780999999999999</v>
      </c>
      <c r="J455" s="4">
        <v>182.55</v>
      </c>
      <c r="K455" s="4">
        <v>1.6174999999999999</v>
      </c>
      <c r="L455" s="4">
        <v>7.9618000000000002</v>
      </c>
      <c r="M455" s="4">
        <v>1.1988E-2</v>
      </c>
      <c r="N455" s="4" t="s">
        <v>20</v>
      </c>
    </row>
    <row r="456" spans="1:14" ht="17" x14ac:dyDescent="0.35">
      <c r="A456" s="15">
        <v>104.99</v>
      </c>
      <c r="B456" s="16">
        <v>10.824999999999999</v>
      </c>
      <c r="C456" s="4">
        <v>1.6036999999999999</v>
      </c>
      <c r="D456" s="4">
        <v>0.62356999999999996</v>
      </c>
      <c r="E456" s="4">
        <v>1.7778</v>
      </c>
      <c r="F456" s="4">
        <v>2.4527999999999999</v>
      </c>
      <c r="G456" s="4">
        <v>137.43</v>
      </c>
      <c r="H456" s="4">
        <v>24.858000000000001</v>
      </c>
      <c r="I456" s="4">
        <v>47.994999999999997</v>
      </c>
      <c r="J456" s="4">
        <v>182.51</v>
      </c>
      <c r="K456" s="4">
        <v>1.6134999999999999</v>
      </c>
      <c r="L456" s="4">
        <v>7.9790000000000001</v>
      </c>
      <c r="M456" s="4">
        <v>1.2031999999999999E-2</v>
      </c>
      <c r="N456" s="4" t="s">
        <v>20</v>
      </c>
    </row>
    <row r="457" spans="1:14" ht="17" x14ac:dyDescent="0.35">
      <c r="A457" s="15">
        <v>105.13</v>
      </c>
      <c r="B457" s="16">
        <v>10.925000000000001</v>
      </c>
      <c r="C457" s="4">
        <v>1.6194</v>
      </c>
      <c r="D457" s="4">
        <v>0.61753000000000002</v>
      </c>
      <c r="E457" s="4">
        <v>1.7774000000000001</v>
      </c>
      <c r="F457" s="4">
        <v>2.4521000000000002</v>
      </c>
      <c r="G457" s="4">
        <v>137.36000000000001</v>
      </c>
      <c r="H457" s="4">
        <v>24.888000000000002</v>
      </c>
      <c r="I457" s="4">
        <v>48.210999999999999</v>
      </c>
      <c r="J457" s="4">
        <v>182.48</v>
      </c>
      <c r="K457" s="4">
        <v>1.6095999999999999</v>
      </c>
      <c r="L457" s="4">
        <v>7.9962999999999997</v>
      </c>
      <c r="M457" s="4">
        <v>1.2076E-2</v>
      </c>
      <c r="N457" s="4" t="s">
        <v>20</v>
      </c>
    </row>
    <row r="458" spans="1:14" ht="17" x14ac:dyDescent="0.35">
      <c r="A458" s="15">
        <v>105.28</v>
      </c>
      <c r="B458" s="16">
        <v>11.025</v>
      </c>
      <c r="C458" s="4">
        <v>1.6351</v>
      </c>
      <c r="D458" s="4">
        <v>0.61158999999999997</v>
      </c>
      <c r="E458" s="4">
        <v>1.7770999999999999</v>
      </c>
      <c r="F458" s="4">
        <v>2.4512999999999998</v>
      </c>
      <c r="G458" s="4">
        <v>137.29</v>
      </c>
      <c r="H458" s="4">
        <v>24.917000000000002</v>
      </c>
      <c r="I458" s="4">
        <v>48.429000000000002</v>
      </c>
      <c r="J458" s="4">
        <v>182.44</v>
      </c>
      <c r="K458" s="4">
        <v>1.6056999999999999</v>
      </c>
      <c r="L458" s="4">
        <v>8.0135000000000005</v>
      </c>
      <c r="M458" s="4">
        <v>1.2120000000000001E-2</v>
      </c>
      <c r="N458" s="4" t="s">
        <v>20</v>
      </c>
    </row>
    <row r="459" spans="1:14" ht="17" x14ac:dyDescent="0.35">
      <c r="A459" s="15">
        <v>105.42</v>
      </c>
      <c r="B459" s="16">
        <v>11.125</v>
      </c>
      <c r="C459" s="4">
        <v>1.6509</v>
      </c>
      <c r="D459" s="4">
        <v>0.60573999999999995</v>
      </c>
      <c r="E459" s="4">
        <v>1.7766</v>
      </c>
      <c r="F459" s="4">
        <v>2.4504999999999999</v>
      </c>
      <c r="G459" s="4">
        <v>137.22999999999999</v>
      </c>
      <c r="H459" s="4">
        <v>24.946999999999999</v>
      </c>
      <c r="I459" s="4">
        <v>48.649000000000001</v>
      </c>
      <c r="J459" s="4">
        <v>182.4</v>
      </c>
      <c r="K459" s="4">
        <v>1.6019000000000001</v>
      </c>
      <c r="L459" s="4">
        <v>8.0306999999999995</v>
      </c>
      <c r="M459" s="4">
        <v>1.2163999999999999E-2</v>
      </c>
      <c r="N459" s="4" t="s">
        <v>20</v>
      </c>
    </row>
    <row r="460" spans="1:14" ht="17" x14ac:dyDescent="0.35">
      <c r="A460" s="15">
        <v>105.57</v>
      </c>
      <c r="B460" s="16">
        <v>11.225</v>
      </c>
      <c r="C460" s="4">
        <v>1.6667000000000001</v>
      </c>
      <c r="D460" s="4">
        <v>0.6</v>
      </c>
      <c r="E460" s="4">
        <v>1.7762</v>
      </c>
      <c r="F460" s="4">
        <v>2.4497</v>
      </c>
      <c r="G460" s="4">
        <v>137.16</v>
      </c>
      <c r="H460" s="4">
        <v>24.977</v>
      </c>
      <c r="I460" s="4">
        <v>48.87</v>
      </c>
      <c r="J460" s="4">
        <v>182.36</v>
      </c>
      <c r="K460" s="4">
        <v>1.5981000000000001</v>
      </c>
      <c r="L460" s="4">
        <v>8.0479000000000003</v>
      </c>
      <c r="M460" s="4">
        <v>1.2208999999999999E-2</v>
      </c>
      <c r="N460" s="4" t="s">
        <v>20</v>
      </c>
    </row>
    <row r="461" spans="1:14" ht="17" x14ac:dyDescent="0.35">
      <c r="A461" s="15">
        <v>105.71</v>
      </c>
      <c r="B461" s="16">
        <v>11.324999999999999</v>
      </c>
      <c r="C461" s="4">
        <v>1.6825000000000001</v>
      </c>
      <c r="D461" s="4">
        <v>0.59435000000000004</v>
      </c>
      <c r="E461" s="4">
        <v>1.7757000000000001</v>
      </c>
      <c r="F461" s="4">
        <v>2.4487999999999999</v>
      </c>
      <c r="G461" s="4">
        <v>137.1</v>
      </c>
      <c r="H461" s="4">
        <v>25.006</v>
      </c>
      <c r="I461" s="4">
        <v>49.093000000000004</v>
      </c>
      <c r="J461" s="4">
        <v>182.32</v>
      </c>
      <c r="K461" s="4">
        <v>1.5943000000000001</v>
      </c>
      <c r="L461" s="4">
        <v>8.0649999999999995</v>
      </c>
      <c r="M461" s="4">
        <v>1.2253999999999999E-2</v>
      </c>
      <c r="N461" s="4" t="s">
        <v>20</v>
      </c>
    </row>
    <row r="462" spans="1:14" ht="17" x14ac:dyDescent="0.35">
      <c r="A462" s="15">
        <v>105.85</v>
      </c>
      <c r="B462" s="16">
        <v>11.425000000000001</v>
      </c>
      <c r="C462" s="4">
        <v>1.6983999999999999</v>
      </c>
      <c r="D462" s="4">
        <v>0.58879000000000004</v>
      </c>
      <c r="E462" s="4">
        <v>1.7751999999999999</v>
      </c>
      <c r="F462" s="4">
        <v>2.448</v>
      </c>
      <c r="G462" s="4">
        <v>137.04</v>
      </c>
      <c r="H462" s="4">
        <v>25.036000000000001</v>
      </c>
      <c r="I462" s="4">
        <v>49.317</v>
      </c>
      <c r="J462" s="4">
        <v>182.28</v>
      </c>
      <c r="K462" s="4">
        <v>1.5905</v>
      </c>
      <c r="L462" s="4">
        <v>8.0821000000000005</v>
      </c>
      <c r="M462" s="4">
        <v>1.2298E-2</v>
      </c>
      <c r="N462" s="4" t="s">
        <v>20</v>
      </c>
    </row>
    <row r="463" spans="1:14" ht="17" x14ac:dyDescent="0.35">
      <c r="A463" s="15">
        <v>105.99</v>
      </c>
      <c r="B463" s="16">
        <v>11.525</v>
      </c>
      <c r="C463" s="4">
        <v>1.7142999999999999</v>
      </c>
      <c r="D463" s="4">
        <v>0.58333000000000002</v>
      </c>
      <c r="E463" s="4">
        <v>1.7746999999999999</v>
      </c>
      <c r="F463" s="4">
        <v>2.4470000000000001</v>
      </c>
      <c r="G463" s="4">
        <v>136.97</v>
      </c>
      <c r="H463" s="4">
        <v>25.065999999999999</v>
      </c>
      <c r="I463" s="4">
        <v>49.543999999999997</v>
      </c>
      <c r="J463" s="4">
        <v>182.24</v>
      </c>
      <c r="K463" s="4">
        <v>1.5868</v>
      </c>
      <c r="L463" s="4">
        <v>8.0991999999999997</v>
      </c>
      <c r="M463" s="4">
        <v>1.2343E-2</v>
      </c>
      <c r="N463" s="4" t="s">
        <v>20</v>
      </c>
    </row>
    <row r="464" spans="1:14" ht="17" x14ac:dyDescent="0.35">
      <c r="A464" s="15">
        <v>106.13</v>
      </c>
      <c r="B464" s="16">
        <v>11.625</v>
      </c>
      <c r="C464" s="4">
        <v>1.7302999999999999</v>
      </c>
      <c r="D464" s="4">
        <v>0.57794999999999996</v>
      </c>
      <c r="E464" s="4">
        <v>1.7742</v>
      </c>
      <c r="F464" s="4">
        <v>2.4460999999999999</v>
      </c>
      <c r="G464" s="4">
        <v>136.91</v>
      </c>
      <c r="H464" s="4">
        <v>25.094999999999999</v>
      </c>
      <c r="I464" s="4">
        <v>49.771999999999998</v>
      </c>
      <c r="J464" s="4">
        <v>182.2</v>
      </c>
      <c r="K464" s="4">
        <v>1.5831</v>
      </c>
      <c r="L464" s="4">
        <v>8.1161999999999992</v>
      </c>
      <c r="M464" s="4">
        <v>1.2388E-2</v>
      </c>
      <c r="N464" s="4" t="s">
        <v>20</v>
      </c>
    </row>
    <row r="465" spans="1:14" ht="17" x14ac:dyDescent="0.35">
      <c r="A465" s="15">
        <v>106.27</v>
      </c>
      <c r="B465" s="16">
        <v>11.725</v>
      </c>
      <c r="C465" s="4">
        <v>1.7462</v>
      </c>
      <c r="D465" s="4">
        <v>0.57265999999999995</v>
      </c>
      <c r="E465" s="4">
        <v>1.7737000000000001</v>
      </c>
      <c r="F465" s="4">
        <v>2.4451000000000001</v>
      </c>
      <c r="G465" s="4">
        <v>136.84</v>
      </c>
      <c r="H465" s="4">
        <v>25.125</v>
      </c>
      <c r="I465" s="4">
        <v>50.002000000000002</v>
      </c>
      <c r="J465" s="4">
        <v>182.16</v>
      </c>
      <c r="K465" s="4">
        <v>1.5793999999999999</v>
      </c>
      <c r="L465" s="4">
        <v>8.1332000000000004</v>
      </c>
      <c r="M465" s="4">
        <v>1.2433E-2</v>
      </c>
      <c r="N465" s="4" t="s">
        <v>20</v>
      </c>
    </row>
    <row r="466" spans="1:14" ht="17" x14ac:dyDescent="0.35">
      <c r="A466" s="15">
        <v>106.41</v>
      </c>
      <c r="B466" s="16">
        <v>11.824999999999999</v>
      </c>
      <c r="C466" s="4">
        <v>1.7623</v>
      </c>
      <c r="D466" s="4">
        <v>0.56745000000000001</v>
      </c>
      <c r="E466" s="4">
        <v>1.7730999999999999</v>
      </c>
      <c r="F466" s="4">
        <v>2.4441000000000002</v>
      </c>
      <c r="G466" s="4">
        <v>136.78</v>
      </c>
      <c r="H466" s="4">
        <v>25.154</v>
      </c>
      <c r="I466" s="4">
        <v>50.234000000000002</v>
      </c>
      <c r="J466" s="4">
        <v>182.12</v>
      </c>
      <c r="K466" s="4">
        <v>1.5758000000000001</v>
      </c>
      <c r="L466" s="4">
        <v>8.1501999999999999</v>
      </c>
      <c r="M466" s="4">
        <v>1.2479000000000001E-2</v>
      </c>
      <c r="N466" s="4" t="s">
        <v>20</v>
      </c>
    </row>
    <row r="467" spans="1:14" ht="17" x14ac:dyDescent="0.35">
      <c r="A467" s="15">
        <v>106.54</v>
      </c>
      <c r="B467" s="16">
        <v>11.925000000000001</v>
      </c>
      <c r="C467" s="4">
        <v>1.7783</v>
      </c>
      <c r="D467" s="4">
        <v>0.56232000000000004</v>
      </c>
      <c r="E467" s="4">
        <v>1.7725</v>
      </c>
      <c r="F467" s="4">
        <v>2.4430999999999998</v>
      </c>
      <c r="G467" s="4">
        <v>136.72</v>
      </c>
      <c r="H467" s="4">
        <v>25.184000000000001</v>
      </c>
      <c r="I467" s="4">
        <v>50.468000000000004</v>
      </c>
      <c r="J467" s="4">
        <v>182.08</v>
      </c>
      <c r="K467" s="4">
        <v>1.5721000000000001</v>
      </c>
      <c r="L467" s="4">
        <v>8.1671999999999993</v>
      </c>
      <c r="M467" s="4">
        <v>1.2524E-2</v>
      </c>
      <c r="N467" s="4" t="s">
        <v>20</v>
      </c>
    </row>
    <row r="468" spans="1:14" ht="17" x14ac:dyDescent="0.35">
      <c r="A468" s="15">
        <v>106.68</v>
      </c>
      <c r="B468" s="16">
        <v>12.025</v>
      </c>
      <c r="C468" s="4">
        <v>1.7944</v>
      </c>
      <c r="D468" s="4">
        <v>0.55728</v>
      </c>
      <c r="E468" s="4">
        <v>1.7719</v>
      </c>
      <c r="F468" s="4">
        <v>2.4420000000000002</v>
      </c>
      <c r="G468" s="4">
        <v>136.66</v>
      </c>
      <c r="H468" s="4">
        <v>25.213000000000001</v>
      </c>
      <c r="I468" s="4">
        <v>50.704000000000001</v>
      </c>
      <c r="J468" s="4">
        <v>182.04</v>
      </c>
      <c r="K468" s="4">
        <v>1.5685</v>
      </c>
      <c r="L468" s="4">
        <v>8.1841000000000008</v>
      </c>
      <c r="M468" s="4">
        <v>1.257E-2</v>
      </c>
      <c r="N468" s="4" t="s">
        <v>20</v>
      </c>
    </row>
    <row r="469" spans="1:14" ht="17" x14ac:dyDescent="0.35">
      <c r="A469" s="15">
        <v>106.81</v>
      </c>
      <c r="B469" s="16">
        <v>12.125</v>
      </c>
      <c r="C469" s="4">
        <v>1.8106</v>
      </c>
      <c r="D469" s="4">
        <v>0.55230999999999997</v>
      </c>
      <c r="E469" s="4">
        <v>1.7712000000000001</v>
      </c>
      <c r="F469" s="4">
        <v>2.4409000000000001</v>
      </c>
      <c r="G469" s="4">
        <v>136.59</v>
      </c>
      <c r="H469" s="4">
        <v>25.242999999999999</v>
      </c>
      <c r="I469" s="4">
        <v>50.942</v>
      </c>
      <c r="J469" s="4">
        <v>181.99</v>
      </c>
      <c r="K469" s="4">
        <v>1.5649999999999999</v>
      </c>
      <c r="L469" s="4">
        <v>8.2011000000000003</v>
      </c>
      <c r="M469" s="4">
        <v>1.2614999999999999E-2</v>
      </c>
      <c r="N469" s="4" t="s">
        <v>20</v>
      </c>
    </row>
    <row r="470" spans="1:14" ht="17" x14ac:dyDescent="0.35">
      <c r="A470" s="15">
        <v>106.95</v>
      </c>
      <c r="B470" s="16">
        <v>12.225</v>
      </c>
      <c r="C470" s="4">
        <v>1.8268</v>
      </c>
      <c r="D470" s="4">
        <v>0.54740999999999995</v>
      </c>
      <c r="E470" s="4">
        <v>1.7706</v>
      </c>
      <c r="F470" s="4">
        <v>2.4398</v>
      </c>
      <c r="G470" s="4">
        <v>136.53</v>
      </c>
      <c r="H470" s="4">
        <v>25.273</v>
      </c>
      <c r="I470" s="4">
        <v>51.182000000000002</v>
      </c>
      <c r="J470" s="4">
        <v>181.95</v>
      </c>
      <c r="K470" s="4">
        <v>1.5613999999999999</v>
      </c>
      <c r="L470" s="4">
        <v>8.218</v>
      </c>
      <c r="M470" s="4">
        <v>1.2661E-2</v>
      </c>
      <c r="N470" s="4" t="s">
        <v>20</v>
      </c>
    </row>
    <row r="471" spans="1:14" ht="17" x14ac:dyDescent="0.35">
      <c r="A471" s="15">
        <v>107.08</v>
      </c>
      <c r="B471" s="16">
        <v>12.324999999999999</v>
      </c>
      <c r="C471" s="4">
        <v>1.843</v>
      </c>
      <c r="D471" s="4">
        <v>0.54259000000000002</v>
      </c>
      <c r="E471" s="4">
        <v>1.7699</v>
      </c>
      <c r="F471" s="4">
        <v>2.4386999999999999</v>
      </c>
      <c r="G471" s="4">
        <v>136.47</v>
      </c>
      <c r="H471" s="4">
        <v>25.302</v>
      </c>
      <c r="I471" s="4">
        <v>51.423999999999999</v>
      </c>
      <c r="J471" s="4">
        <v>181.9</v>
      </c>
      <c r="K471" s="4">
        <v>1.5579000000000001</v>
      </c>
      <c r="L471" s="4">
        <v>8.2347999999999999</v>
      </c>
      <c r="M471" s="4">
        <v>1.2707E-2</v>
      </c>
      <c r="N471" s="4" t="s">
        <v>20</v>
      </c>
    </row>
    <row r="472" spans="1:14" ht="17" x14ac:dyDescent="0.35">
      <c r="A472" s="15">
        <v>107.21</v>
      </c>
      <c r="B472" s="16">
        <v>12.425000000000001</v>
      </c>
      <c r="C472" s="4">
        <v>1.8593</v>
      </c>
      <c r="D472" s="4">
        <v>0.53785000000000005</v>
      </c>
      <c r="E472" s="4">
        <v>1.7692000000000001</v>
      </c>
      <c r="F472" s="4">
        <v>2.4375</v>
      </c>
      <c r="G472" s="4">
        <v>136.41</v>
      </c>
      <c r="H472" s="4">
        <v>25.332000000000001</v>
      </c>
      <c r="I472" s="4">
        <v>51.667999999999999</v>
      </c>
      <c r="J472" s="4">
        <v>181.86</v>
      </c>
      <c r="K472" s="4">
        <v>1.5544</v>
      </c>
      <c r="L472" s="4">
        <v>8.2516999999999996</v>
      </c>
      <c r="M472" s="4">
        <v>1.2754E-2</v>
      </c>
      <c r="N472" s="4" t="s">
        <v>20</v>
      </c>
    </row>
    <row r="473" spans="1:14" ht="17" x14ac:dyDescent="0.35">
      <c r="A473" s="15">
        <v>107.35</v>
      </c>
      <c r="B473" s="16">
        <v>12.525</v>
      </c>
      <c r="C473" s="4">
        <v>1.8755999999999999</v>
      </c>
      <c r="D473" s="4">
        <v>0.53317000000000003</v>
      </c>
      <c r="E473" s="4">
        <v>1.7685</v>
      </c>
      <c r="F473" s="4">
        <v>2.4363000000000001</v>
      </c>
      <c r="G473" s="4">
        <v>136.35</v>
      </c>
      <c r="H473" s="4">
        <v>25.361000000000001</v>
      </c>
      <c r="I473" s="4">
        <v>51.914000000000001</v>
      </c>
      <c r="J473" s="4">
        <v>181.82</v>
      </c>
      <c r="K473" s="4">
        <v>1.5508999999999999</v>
      </c>
      <c r="L473" s="4">
        <v>8.2685999999999993</v>
      </c>
      <c r="M473" s="4">
        <v>1.2800000000000001E-2</v>
      </c>
      <c r="N473" s="4" t="s">
        <v>20</v>
      </c>
    </row>
    <row r="474" spans="1:14" ht="17" x14ac:dyDescent="0.35">
      <c r="A474" s="15">
        <v>107.48</v>
      </c>
      <c r="B474" s="16">
        <v>12.625</v>
      </c>
      <c r="C474" s="4">
        <v>1.8918999999999999</v>
      </c>
      <c r="D474" s="4">
        <v>0.52856000000000003</v>
      </c>
      <c r="E474" s="4">
        <v>1.7678</v>
      </c>
      <c r="F474" s="4">
        <v>2.4350999999999998</v>
      </c>
      <c r="G474" s="4">
        <v>136.29</v>
      </c>
      <c r="H474" s="4">
        <v>25.390999999999998</v>
      </c>
      <c r="I474" s="4">
        <v>52.162999999999997</v>
      </c>
      <c r="J474" s="4">
        <v>181.77</v>
      </c>
      <c r="K474" s="4">
        <v>1.5475000000000001</v>
      </c>
      <c r="L474" s="4">
        <v>8.2853999999999992</v>
      </c>
      <c r="M474" s="4">
        <v>1.2846E-2</v>
      </c>
      <c r="N474" s="4" t="s">
        <v>20</v>
      </c>
    </row>
    <row r="475" spans="1:14" ht="17" x14ac:dyDescent="0.35">
      <c r="A475" s="15">
        <v>107.61</v>
      </c>
      <c r="B475" s="16">
        <v>12.725</v>
      </c>
      <c r="C475" s="4">
        <v>1.9083000000000001</v>
      </c>
      <c r="D475" s="4">
        <v>0.52402000000000004</v>
      </c>
      <c r="E475" s="4">
        <v>1.7669999999999999</v>
      </c>
      <c r="F475" s="4">
        <v>2.4338000000000002</v>
      </c>
      <c r="G475" s="4">
        <v>136.22999999999999</v>
      </c>
      <c r="H475" s="4">
        <v>25.420999999999999</v>
      </c>
      <c r="I475" s="4">
        <v>52.412999999999997</v>
      </c>
      <c r="J475" s="4">
        <v>181.72</v>
      </c>
      <c r="K475" s="4">
        <v>1.544</v>
      </c>
      <c r="L475" s="4">
        <v>8.3021999999999991</v>
      </c>
      <c r="M475" s="4">
        <v>1.2893E-2</v>
      </c>
      <c r="N475" s="4" t="s">
        <v>20</v>
      </c>
    </row>
    <row r="476" spans="1:14" ht="17" x14ac:dyDescent="0.35">
      <c r="A476" s="15">
        <v>107.74</v>
      </c>
      <c r="B476" s="16">
        <v>12.824999999999999</v>
      </c>
      <c r="C476" s="4">
        <v>1.9247000000000001</v>
      </c>
      <c r="D476" s="4">
        <v>0.51954999999999996</v>
      </c>
      <c r="E476" s="4">
        <v>1.7662</v>
      </c>
      <c r="F476" s="4">
        <v>2.4325000000000001</v>
      </c>
      <c r="G476" s="4">
        <v>136.16999999999999</v>
      </c>
      <c r="H476" s="4">
        <v>25.45</v>
      </c>
      <c r="I476" s="4">
        <v>52.665999999999997</v>
      </c>
      <c r="J476" s="4">
        <v>181.68</v>
      </c>
      <c r="K476" s="4">
        <v>1.5406</v>
      </c>
      <c r="L476" s="4">
        <v>8.3190000000000008</v>
      </c>
      <c r="M476" s="4">
        <v>1.294E-2</v>
      </c>
      <c r="N476" s="4" t="s">
        <v>20</v>
      </c>
    </row>
    <row r="477" spans="1:14" ht="17" x14ac:dyDescent="0.35">
      <c r="A477" s="15">
        <v>107.87</v>
      </c>
      <c r="B477" s="16">
        <v>12.925000000000001</v>
      </c>
      <c r="C477" s="4">
        <v>1.9412</v>
      </c>
      <c r="D477" s="4">
        <v>0.51514000000000004</v>
      </c>
      <c r="E477" s="4">
        <v>1.7654000000000001</v>
      </c>
      <c r="F477" s="4">
        <v>2.4312</v>
      </c>
      <c r="G477" s="4">
        <v>136.11000000000001</v>
      </c>
      <c r="H477" s="4">
        <v>25.48</v>
      </c>
      <c r="I477" s="4">
        <v>52.921999999999997</v>
      </c>
      <c r="J477" s="4">
        <v>181.63</v>
      </c>
      <c r="K477" s="4">
        <v>1.5371999999999999</v>
      </c>
      <c r="L477" s="4">
        <v>8.3358000000000008</v>
      </c>
      <c r="M477" s="4">
        <v>1.2987E-2</v>
      </c>
      <c r="N477" s="4" t="s">
        <v>20</v>
      </c>
    </row>
    <row r="478" spans="1:14" ht="17" x14ac:dyDescent="0.35">
      <c r="A478" s="15">
        <v>108</v>
      </c>
      <c r="B478" s="16">
        <v>13.025</v>
      </c>
      <c r="C478" s="4">
        <v>1.9577</v>
      </c>
      <c r="D478" s="4">
        <v>0.51080000000000003</v>
      </c>
      <c r="E478" s="4">
        <v>1.7645999999999999</v>
      </c>
      <c r="F478" s="4">
        <v>2.4298999999999999</v>
      </c>
      <c r="G478" s="4">
        <v>136.05000000000001</v>
      </c>
      <c r="H478" s="4">
        <v>25.51</v>
      </c>
      <c r="I478" s="4">
        <v>53.179000000000002</v>
      </c>
      <c r="J478" s="4">
        <v>181.58</v>
      </c>
      <c r="K478" s="4">
        <v>1.5339</v>
      </c>
      <c r="L478" s="4">
        <v>8.3526000000000007</v>
      </c>
      <c r="M478" s="4">
        <v>1.3034E-2</v>
      </c>
      <c r="N478" s="4" t="s">
        <v>20</v>
      </c>
    </row>
    <row r="479" spans="1:14" ht="17" x14ac:dyDescent="0.35">
      <c r="A479" s="15">
        <v>108.12</v>
      </c>
      <c r="B479" s="16">
        <v>13.125</v>
      </c>
      <c r="C479" s="4">
        <v>1.9742999999999999</v>
      </c>
      <c r="D479" s="4">
        <v>0.50651000000000002</v>
      </c>
      <c r="E479" s="4">
        <v>1.7637</v>
      </c>
      <c r="F479" s="4">
        <v>2.4285999999999999</v>
      </c>
      <c r="G479" s="4">
        <v>135.99</v>
      </c>
      <c r="H479" s="4">
        <v>25.54</v>
      </c>
      <c r="I479" s="4">
        <v>53.439</v>
      </c>
      <c r="J479" s="4">
        <v>181.54</v>
      </c>
      <c r="K479" s="4">
        <v>1.5305</v>
      </c>
      <c r="L479" s="4">
        <v>8.3694000000000006</v>
      </c>
      <c r="M479" s="4">
        <v>1.3082E-2</v>
      </c>
      <c r="N479" s="4" t="s">
        <v>20</v>
      </c>
    </row>
    <row r="480" spans="1:14" ht="17" x14ac:dyDescent="0.35">
      <c r="A480" s="15">
        <v>108.25</v>
      </c>
      <c r="B480" s="16">
        <v>13.225</v>
      </c>
      <c r="C480" s="4">
        <v>1.9908999999999999</v>
      </c>
      <c r="D480" s="4">
        <v>0.50229000000000001</v>
      </c>
      <c r="E480" s="4">
        <v>1.7628999999999999</v>
      </c>
      <c r="F480" s="4">
        <v>2.4272</v>
      </c>
      <c r="G480" s="4">
        <v>135.93</v>
      </c>
      <c r="H480" s="4">
        <v>25.57</v>
      </c>
      <c r="I480" s="4">
        <v>53.701000000000001</v>
      </c>
      <c r="J480" s="4">
        <v>181.49</v>
      </c>
      <c r="K480" s="4">
        <v>1.5271999999999999</v>
      </c>
      <c r="L480" s="4">
        <v>8.3861000000000008</v>
      </c>
      <c r="M480" s="4">
        <v>1.3129E-2</v>
      </c>
      <c r="N480" s="4" t="s">
        <v>20</v>
      </c>
    </row>
    <row r="481" spans="1:14" ht="17" x14ac:dyDescent="0.35">
      <c r="A481" s="15">
        <v>108.38</v>
      </c>
      <c r="B481" s="16">
        <v>13.324999999999999</v>
      </c>
      <c r="C481" s="4">
        <v>2.0074999999999998</v>
      </c>
      <c r="D481" s="4">
        <v>0.49812000000000001</v>
      </c>
      <c r="E481" s="4">
        <v>1.762</v>
      </c>
      <c r="F481" s="4">
        <v>2.4258000000000002</v>
      </c>
      <c r="G481" s="4">
        <v>135.87</v>
      </c>
      <c r="H481" s="4">
        <v>25.6</v>
      </c>
      <c r="I481" s="4">
        <v>53.966000000000001</v>
      </c>
      <c r="J481" s="4">
        <v>181.44</v>
      </c>
      <c r="K481" s="4">
        <v>1.5239</v>
      </c>
      <c r="L481" s="4">
        <v>8.4029000000000007</v>
      </c>
      <c r="M481" s="4">
        <v>1.3176999999999999E-2</v>
      </c>
      <c r="N481" s="4" t="s">
        <v>20</v>
      </c>
    </row>
    <row r="482" spans="1:14" ht="17" x14ac:dyDescent="0.35">
      <c r="A482" s="15">
        <v>108.5</v>
      </c>
      <c r="B482" s="16">
        <v>13.425000000000001</v>
      </c>
      <c r="C482" s="4">
        <v>2.0242</v>
      </c>
      <c r="D482" s="4">
        <v>0.49401</v>
      </c>
      <c r="E482" s="4">
        <v>1.7611000000000001</v>
      </c>
      <c r="F482" s="4">
        <v>2.4243000000000001</v>
      </c>
      <c r="G482" s="4">
        <v>135.81</v>
      </c>
      <c r="H482" s="4">
        <v>25.629000000000001</v>
      </c>
      <c r="I482" s="4">
        <v>54.234000000000002</v>
      </c>
      <c r="J482" s="4">
        <v>181.39</v>
      </c>
      <c r="K482" s="4">
        <v>1.5206</v>
      </c>
      <c r="L482" s="4">
        <v>8.4196000000000009</v>
      </c>
      <c r="M482" s="4">
        <v>1.3225000000000001E-2</v>
      </c>
      <c r="N482" s="4" t="s">
        <v>20</v>
      </c>
    </row>
    <row r="483" spans="1:14" ht="17" x14ac:dyDescent="0.35">
      <c r="A483" s="15">
        <v>108.63</v>
      </c>
      <c r="B483" s="16">
        <v>13.525</v>
      </c>
      <c r="C483" s="4">
        <v>2.0409999999999999</v>
      </c>
      <c r="D483" s="4">
        <v>0.48996000000000001</v>
      </c>
      <c r="E483" s="4">
        <v>1.7602</v>
      </c>
      <c r="F483" s="4">
        <v>2.4228999999999998</v>
      </c>
      <c r="G483" s="4">
        <v>135.75</v>
      </c>
      <c r="H483" s="4">
        <v>25.66</v>
      </c>
      <c r="I483" s="4">
        <v>54.503999999999998</v>
      </c>
      <c r="J483" s="4">
        <v>181.34</v>
      </c>
      <c r="K483" s="4">
        <v>1.5173000000000001</v>
      </c>
      <c r="L483" s="4">
        <v>8.4364000000000008</v>
      </c>
      <c r="M483" s="4">
        <v>1.3273E-2</v>
      </c>
      <c r="N483" s="4" t="s">
        <v>20</v>
      </c>
    </row>
    <row r="484" spans="1:14" ht="17" x14ac:dyDescent="0.35">
      <c r="A484" s="15">
        <v>108.75</v>
      </c>
      <c r="B484" s="16">
        <v>13.625</v>
      </c>
      <c r="C484" s="4">
        <v>2.0577999999999999</v>
      </c>
      <c r="D484" s="4">
        <v>0.48597000000000001</v>
      </c>
      <c r="E484" s="4">
        <v>1.7592000000000001</v>
      </c>
      <c r="F484" s="4">
        <v>2.4214000000000002</v>
      </c>
      <c r="G484" s="4">
        <v>135.69</v>
      </c>
      <c r="H484" s="4">
        <v>25.69</v>
      </c>
      <c r="I484" s="4">
        <v>54.776000000000003</v>
      </c>
      <c r="J484" s="4">
        <v>181.29</v>
      </c>
      <c r="K484" s="4">
        <v>1.514</v>
      </c>
      <c r="L484" s="4">
        <v>8.4530999999999992</v>
      </c>
      <c r="M484" s="4">
        <v>1.3322000000000001E-2</v>
      </c>
      <c r="N484" s="4" t="s">
        <v>20</v>
      </c>
    </row>
    <row r="485" spans="1:14" ht="17" x14ac:dyDescent="0.35">
      <c r="A485" s="15">
        <v>108.88</v>
      </c>
      <c r="B485" s="16">
        <v>13.725</v>
      </c>
      <c r="C485" s="4">
        <v>2.0746000000000002</v>
      </c>
      <c r="D485" s="4">
        <v>0.48203000000000001</v>
      </c>
      <c r="E485" s="4">
        <v>1.7583</v>
      </c>
      <c r="F485" s="4">
        <v>2.4199000000000002</v>
      </c>
      <c r="G485" s="4">
        <v>135.63</v>
      </c>
      <c r="H485" s="4">
        <v>25.72</v>
      </c>
      <c r="I485" s="4">
        <v>55.052</v>
      </c>
      <c r="J485" s="4">
        <v>181.24</v>
      </c>
      <c r="K485" s="4">
        <v>1.5107999999999999</v>
      </c>
      <c r="L485" s="4">
        <v>8.4699000000000009</v>
      </c>
      <c r="M485" s="4">
        <v>1.337E-2</v>
      </c>
      <c r="N485" s="4" t="s">
        <v>20</v>
      </c>
    </row>
    <row r="486" spans="1:14" ht="17" x14ac:dyDescent="0.35">
      <c r="A486" s="15">
        <v>109</v>
      </c>
      <c r="B486" s="16">
        <v>13.824999999999999</v>
      </c>
      <c r="C486" s="4">
        <v>2.0914999999999999</v>
      </c>
      <c r="D486" s="4">
        <v>0.47814000000000001</v>
      </c>
      <c r="E486" s="4">
        <v>1.7573000000000001</v>
      </c>
      <c r="F486" s="4">
        <v>2.4182999999999999</v>
      </c>
      <c r="G486" s="4">
        <v>135.57</v>
      </c>
      <c r="H486" s="4">
        <v>25.75</v>
      </c>
      <c r="I486" s="4">
        <v>55.33</v>
      </c>
      <c r="J486" s="4">
        <v>181.19</v>
      </c>
      <c r="K486" s="4">
        <v>1.5076000000000001</v>
      </c>
      <c r="L486" s="4">
        <v>8.4865999999999993</v>
      </c>
      <c r="M486" s="4">
        <v>1.3419E-2</v>
      </c>
      <c r="N486" s="4" t="s">
        <v>20</v>
      </c>
    </row>
    <row r="487" spans="1:14" ht="17" x14ac:dyDescent="0.35">
      <c r="A487" s="15">
        <v>109.12</v>
      </c>
      <c r="B487" s="16">
        <v>13.925000000000001</v>
      </c>
      <c r="C487" s="4">
        <v>2.1084000000000001</v>
      </c>
      <c r="D487" s="4">
        <v>0.4743</v>
      </c>
      <c r="E487" s="4">
        <v>1.7563</v>
      </c>
      <c r="F487" s="4">
        <v>2.4167999999999998</v>
      </c>
      <c r="G487" s="4">
        <v>135.52000000000001</v>
      </c>
      <c r="H487" s="4">
        <v>25.780999999999999</v>
      </c>
      <c r="I487" s="4">
        <v>55.61</v>
      </c>
      <c r="J487" s="4">
        <v>181.14</v>
      </c>
      <c r="K487" s="4">
        <v>1.5043</v>
      </c>
      <c r="L487" s="4">
        <v>8.5032999999999994</v>
      </c>
      <c r="M487" s="4">
        <v>1.3468000000000001E-2</v>
      </c>
      <c r="N487" s="4" t="s">
        <v>20</v>
      </c>
    </row>
    <row r="488" spans="1:14" ht="17" x14ac:dyDescent="0.35">
      <c r="A488" s="15">
        <v>109.24</v>
      </c>
      <c r="B488" s="16">
        <v>14.025</v>
      </c>
      <c r="C488" s="4">
        <v>2.1253000000000002</v>
      </c>
      <c r="D488" s="4">
        <v>0.47050999999999998</v>
      </c>
      <c r="E488" s="4">
        <v>1.7553000000000001</v>
      </c>
      <c r="F488" s="4">
        <v>2.4152</v>
      </c>
      <c r="G488" s="4">
        <v>135.46</v>
      </c>
      <c r="H488" s="4">
        <v>25.811</v>
      </c>
      <c r="I488" s="4">
        <v>55.893999999999998</v>
      </c>
      <c r="J488" s="4">
        <v>181.09</v>
      </c>
      <c r="K488" s="4">
        <v>1.5011000000000001</v>
      </c>
      <c r="L488" s="4">
        <v>8.5200999999999993</v>
      </c>
      <c r="M488" s="4">
        <v>1.3517E-2</v>
      </c>
      <c r="N488" s="4" t="s">
        <v>20</v>
      </c>
    </row>
    <row r="489" spans="1:14" ht="17" x14ac:dyDescent="0.35">
      <c r="A489" s="15">
        <v>109.36</v>
      </c>
      <c r="B489" s="16">
        <v>14.125</v>
      </c>
      <c r="C489" s="4">
        <v>2.1423999999999999</v>
      </c>
      <c r="D489" s="4">
        <v>0.46677000000000002</v>
      </c>
      <c r="E489" s="4">
        <v>1.7542</v>
      </c>
      <c r="F489" s="4">
        <v>2.4136000000000002</v>
      </c>
      <c r="G489" s="4">
        <v>135.4</v>
      </c>
      <c r="H489" s="4">
        <v>25.841999999999999</v>
      </c>
      <c r="I489" s="4">
        <v>56.180999999999997</v>
      </c>
      <c r="J489" s="4">
        <v>181.04</v>
      </c>
      <c r="K489" s="4">
        <v>1.498</v>
      </c>
      <c r="L489" s="4">
        <v>8.5367999999999995</v>
      </c>
      <c r="M489" s="4">
        <v>1.3566E-2</v>
      </c>
      <c r="N489" s="4" t="s">
        <v>20</v>
      </c>
    </row>
    <row r="490" spans="1:14" ht="17" x14ac:dyDescent="0.35">
      <c r="A490" s="15">
        <v>109.49</v>
      </c>
      <c r="B490" s="16">
        <v>14.225</v>
      </c>
      <c r="C490" s="4">
        <v>2.1594000000000002</v>
      </c>
      <c r="D490" s="4">
        <v>0.46307999999999999</v>
      </c>
      <c r="E490" s="4">
        <v>1.7532000000000001</v>
      </c>
      <c r="F490" s="4">
        <v>2.4119000000000002</v>
      </c>
      <c r="G490" s="4">
        <v>135.34</v>
      </c>
      <c r="H490" s="4">
        <v>25.872</v>
      </c>
      <c r="I490" s="4">
        <v>56.47</v>
      </c>
      <c r="J490" s="4">
        <v>180.99</v>
      </c>
      <c r="K490" s="4">
        <v>1.4947999999999999</v>
      </c>
      <c r="L490" s="4">
        <v>8.5534999999999997</v>
      </c>
      <c r="M490" s="4">
        <v>1.3616E-2</v>
      </c>
      <c r="N490" s="4" t="s">
        <v>20</v>
      </c>
    </row>
    <row r="491" spans="1:14" ht="17" x14ac:dyDescent="0.35">
      <c r="A491" s="15">
        <v>109.6</v>
      </c>
      <c r="B491" s="16">
        <v>14.324999999999999</v>
      </c>
      <c r="C491" s="4">
        <v>2.1764999999999999</v>
      </c>
      <c r="D491" s="4">
        <v>0.45944000000000002</v>
      </c>
      <c r="E491" s="4">
        <v>1.7521</v>
      </c>
      <c r="F491" s="4">
        <v>2.4102999999999999</v>
      </c>
      <c r="G491" s="4">
        <v>135.29</v>
      </c>
      <c r="H491" s="4">
        <v>25.902999999999999</v>
      </c>
      <c r="I491" s="4">
        <v>56.762</v>
      </c>
      <c r="J491" s="4">
        <v>180.94</v>
      </c>
      <c r="K491" s="4">
        <v>1.4916</v>
      </c>
      <c r="L491" s="4">
        <v>8.5701999999999998</v>
      </c>
      <c r="M491" s="4">
        <v>1.3665999999999999E-2</v>
      </c>
      <c r="N491" s="4" t="s">
        <v>20</v>
      </c>
    </row>
    <row r="492" spans="1:14" ht="17" x14ac:dyDescent="0.35">
      <c r="A492" s="15">
        <v>109.72</v>
      </c>
      <c r="B492" s="16">
        <v>14.425000000000001</v>
      </c>
      <c r="C492" s="4">
        <v>2.1937000000000002</v>
      </c>
      <c r="D492" s="4">
        <v>0.45584999999999998</v>
      </c>
      <c r="E492" s="4">
        <v>1.7509999999999999</v>
      </c>
      <c r="F492" s="4">
        <v>2.4085999999999999</v>
      </c>
      <c r="G492" s="4">
        <v>135.22999999999999</v>
      </c>
      <c r="H492" s="4">
        <v>25.934000000000001</v>
      </c>
      <c r="I492" s="4">
        <v>57.058</v>
      </c>
      <c r="J492" s="4">
        <v>180.88</v>
      </c>
      <c r="K492" s="4">
        <v>1.4884999999999999</v>
      </c>
      <c r="L492" s="4">
        <v>8.5869999999999997</v>
      </c>
      <c r="M492" s="4">
        <v>1.3716000000000001E-2</v>
      </c>
      <c r="N492" s="4" t="s">
        <v>20</v>
      </c>
    </row>
    <row r="493" spans="1:14" ht="17" x14ac:dyDescent="0.35">
      <c r="A493" s="15">
        <v>109.84</v>
      </c>
      <c r="B493" s="16">
        <v>14.525</v>
      </c>
      <c r="C493" s="4">
        <v>2.2109000000000001</v>
      </c>
      <c r="D493" s="4">
        <v>0.45229999999999998</v>
      </c>
      <c r="E493" s="4">
        <v>1.7499</v>
      </c>
      <c r="F493" s="4">
        <v>2.4068999999999998</v>
      </c>
      <c r="G493" s="4">
        <v>135.16999999999999</v>
      </c>
      <c r="H493" s="4">
        <v>25.965</v>
      </c>
      <c r="I493" s="4">
        <v>57.356000000000002</v>
      </c>
      <c r="J493" s="4">
        <v>180.83</v>
      </c>
      <c r="K493" s="4">
        <v>1.4853000000000001</v>
      </c>
      <c r="L493" s="4">
        <v>8.6036999999999999</v>
      </c>
      <c r="M493" s="4">
        <v>1.3766E-2</v>
      </c>
      <c r="N493" s="4" t="s">
        <v>20</v>
      </c>
    </row>
    <row r="494" spans="1:14" ht="17" x14ac:dyDescent="0.35">
      <c r="A494" s="15">
        <v>109.96</v>
      </c>
      <c r="B494" s="16">
        <v>14.625</v>
      </c>
      <c r="C494" s="4">
        <v>2.2282000000000002</v>
      </c>
      <c r="D494" s="4">
        <v>0.44879000000000002</v>
      </c>
      <c r="E494" s="4">
        <v>1.7487999999999999</v>
      </c>
      <c r="F494" s="4">
        <v>2.4051</v>
      </c>
      <c r="G494" s="4">
        <v>135.12</v>
      </c>
      <c r="H494" s="4">
        <v>25.995999999999999</v>
      </c>
      <c r="I494" s="4">
        <v>57.658000000000001</v>
      </c>
      <c r="J494" s="4">
        <v>180.78</v>
      </c>
      <c r="K494" s="4">
        <v>1.4822</v>
      </c>
      <c r="L494" s="4">
        <v>8.6204999999999998</v>
      </c>
      <c r="M494" s="4">
        <v>1.3816999999999999E-2</v>
      </c>
      <c r="N494" s="4" t="s">
        <v>20</v>
      </c>
    </row>
    <row r="495" spans="1:14" ht="17" x14ac:dyDescent="0.35">
      <c r="A495" s="15">
        <v>110.08</v>
      </c>
      <c r="B495" s="16">
        <v>14.725</v>
      </c>
      <c r="C495" s="4">
        <v>2.2454999999999998</v>
      </c>
      <c r="D495" s="4">
        <v>0.44533</v>
      </c>
      <c r="E495" s="4">
        <v>1.7476</v>
      </c>
      <c r="F495" s="4">
        <v>2.4034</v>
      </c>
      <c r="G495" s="4">
        <v>135.06</v>
      </c>
      <c r="H495" s="4">
        <v>26.027000000000001</v>
      </c>
      <c r="I495" s="4">
        <v>57.963000000000001</v>
      </c>
      <c r="J495" s="4">
        <v>180.72</v>
      </c>
      <c r="K495" s="4">
        <v>1.4791000000000001</v>
      </c>
      <c r="L495" s="4">
        <v>8.6372</v>
      </c>
      <c r="M495" s="4">
        <v>1.3868E-2</v>
      </c>
      <c r="N495" s="4" t="s">
        <v>20</v>
      </c>
    </row>
    <row r="496" spans="1:14" ht="17" x14ac:dyDescent="0.35">
      <c r="A496" s="15">
        <v>110.2</v>
      </c>
      <c r="B496" s="16">
        <v>14.824999999999999</v>
      </c>
      <c r="C496" s="4">
        <v>2.2629000000000001</v>
      </c>
      <c r="D496" s="4">
        <v>0.44191999999999998</v>
      </c>
      <c r="E496" s="4">
        <v>1.7464</v>
      </c>
      <c r="F496" s="4">
        <v>2.4016000000000002</v>
      </c>
      <c r="G496" s="4">
        <v>135</v>
      </c>
      <c r="H496" s="4">
        <v>26.059000000000001</v>
      </c>
      <c r="I496" s="4">
        <v>58.271000000000001</v>
      </c>
      <c r="J496" s="4">
        <v>180.67</v>
      </c>
      <c r="K496" s="4">
        <v>1.476</v>
      </c>
      <c r="L496" s="4">
        <v>8.6539999999999999</v>
      </c>
      <c r="M496" s="4">
        <v>1.3919000000000001E-2</v>
      </c>
      <c r="N496" s="4" t="s">
        <v>20</v>
      </c>
    </row>
    <row r="497" spans="1:14" ht="17" x14ac:dyDescent="0.35">
      <c r="A497" s="15">
        <v>110.31</v>
      </c>
      <c r="B497" s="16">
        <v>14.925000000000001</v>
      </c>
      <c r="C497" s="4">
        <v>2.2803</v>
      </c>
      <c r="D497" s="4">
        <v>0.43853999999999999</v>
      </c>
      <c r="E497" s="4">
        <v>1.7452000000000001</v>
      </c>
      <c r="F497" s="4">
        <v>2.3997999999999999</v>
      </c>
      <c r="G497" s="4">
        <v>134.94999999999999</v>
      </c>
      <c r="H497" s="4">
        <v>26.09</v>
      </c>
      <c r="I497" s="4">
        <v>58.582999999999998</v>
      </c>
      <c r="J497" s="4">
        <v>180.62</v>
      </c>
      <c r="K497" s="4">
        <v>1.4729000000000001</v>
      </c>
      <c r="L497" s="4">
        <v>8.6707000000000001</v>
      </c>
      <c r="M497" s="4">
        <v>1.397E-2</v>
      </c>
      <c r="N497" s="4" t="s">
        <v>20</v>
      </c>
    </row>
    <row r="498" spans="1:14" ht="17" x14ac:dyDescent="0.35">
      <c r="A498" s="15">
        <v>110.43</v>
      </c>
      <c r="B498" s="16">
        <v>15.025</v>
      </c>
      <c r="C498" s="4">
        <v>2.2978000000000001</v>
      </c>
      <c r="D498" s="4">
        <v>0.43520999999999999</v>
      </c>
      <c r="E498" s="4">
        <v>1.744</v>
      </c>
      <c r="F498" s="4">
        <v>2.3978999999999999</v>
      </c>
      <c r="G498" s="4">
        <v>134.88999999999999</v>
      </c>
      <c r="H498" s="4">
        <v>26.122</v>
      </c>
      <c r="I498" s="4">
        <v>58.898000000000003</v>
      </c>
      <c r="J498" s="4">
        <v>180.56</v>
      </c>
      <c r="K498" s="4">
        <v>1.4699</v>
      </c>
      <c r="L498" s="4">
        <v>8.6875</v>
      </c>
      <c r="M498" s="4">
        <v>1.4022E-2</v>
      </c>
      <c r="N498" s="4" t="s">
        <v>20</v>
      </c>
    </row>
    <row r="499" spans="1:14" ht="17" x14ac:dyDescent="0.35">
      <c r="A499" s="15">
        <v>110.54</v>
      </c>
      <c r="B499" s="16">
        <v>15.125</v>
      </c>
      <c r="C499" s="4">
        <v>2.3153000000000001</v>
      </c>
      <c r="D499" s="4">
        <v>0.43191000000000002</v>
      </c>
      <c r="E499" s="4">
        <v>1.7427999999999999</v>
      </c>
      <c r="F499" s="4">
        <v>2.3961000000000001</v>
      </c>
      <c r="G499" s="4">
        <v>134.83000000000001</v>
      </c>
      <c r="H499" s="4">
        <v>26.154</v>
      </c>
      <c r="I499" s="4">
        <v>59.216999999999999</v>
      </c>
      <c r="J499" s="4">
        <v>180.51</v>
      </c>
      <c r="K499" s="4">
        <v>1.4668000000000001</v>
      </c>
      <c r="L499" s="4">
        <v>8.7042999999999999</v>
      </c>
      <c r="M499" s="4">
        <v>1.4074E-2</v>
      </c>
      <c r="N499" s="4" t="s">
        <v>20</v>
      </c>
    </row>
    <row r="500" spans="1:14" ht="17" x14ac:dyDescent="0.35">
      <c r="A500" s="15">
        <v>110.66</v>
      </c>
      <c r="B500" s="16">
        <v>15.225</v>
      </c>
      <c r="C500" s="4">
        <v>2.3329</v>
      </c>
      <c r="D500" s="4">
        <v>0.42865999999999999</v>
      </c>
      <c r="E500" s="4">
        <v>1.7415</v>
      </c>
      <c r="F500" s="4">
        <v>2.3942000000000001</v>
      </c>
      <c r="G500" s="4">
        <v>134.78</v>
      </c>
      <c r="H500" s="4">
        <v>26.186</v>
      </c>
      <c r="I500" s="4">
        <v>59.539000000000001</v>
      </c>
      <c r="J500" s="4">
        <v>180.45</v>
      </c>
      <c r="K500" s="4">
        <v>1.4637</v>
      </c>
      <c r="L500" s="4">
        <v>8.7210999999999999</v>
      </c>
      <c r="M500" s="4">
        <v>1.4126E-2</v>
      </c>
      <c r="N500" s="4" t="s">
        <v>20</v>
      </c>
    </row>
    <row r="501" spans="1:14" ht="17" x14ac:dyDescent="0.35">
      <c r="A501" s="15">
        <v>110.77</v>
      </c>
      <c r="B501" s="16">
        <v>15.324999999999999</v>
      </c>
      <c r="C501" s="4">
        <v>2.3504999999999998</v>
      </c>
      <c r="D501" s="4">
        <v>0.42543999999999998</v>
      </c>
      <c r="E501" s="4">
        <v>1.7403</v>
      </c>
      <c r="F501" s="4">
        <v>2.3923000000000001</v>
      </c>
      <c r="G501" s="4">
        <v>134.72</v>
      </c>
      <c r="H501" s="4">
        <v>26.218</v>
      </c>
      <c r="I501" s="4">
        <v>59.863999999999997</v>
      </c>
      <c r="J501" s="4">
        <v>180.39</v>
      </c>
      <c r="K501" s="4">
        <v>1.4607000000000001</v>
      </c>
      <c r="L501" s="4">
        <v>8.7378999999999998</v>
      </c>
      <c r="M501" s="4">
        <v>1.4178E-2</v>
      </c>
      <c r="N501" s="4" t="s">
        <v>20</v>
      </c>
    </row>
    <row r="502" spans="1:14" ht="17" x14ac:dyDescent="0.35">
      <c r="A502" s="15">
        <v>110.89</v>
      </c>
      <c r="B502" s="16">
        <v>15.425000000000001</v>
      </c>
      <c r="C502" s="4">
        <v>2.3681999999999999</v>
      </c>
      <c r="D502" s="4">
        <v>0.42226999999999998</v>
      </c>
      <c r="E502" s="4">
        <v>1.7390000000000001</v>
      </c>
      <c r="F502" s="4">
        <v>2.3902999999999999</v>
      </c>
      <c r="G502" s="4">
        <v>134.66999999999999</v>
      </c>
      <c r="H502" s="4">
        <v>26.251000000000001</v>
      </c>
      <c r="I502" s="4">
        <v>60.192999999999998</v>
      </c>
      <c r="J502" s="4">
        <v>180.34</v>
      </c>
      <c r="K502" s="4">
        <v>1.4576</v>
      </c>
      <c r="L502" s="4">
        <v>8.7546999999999997</v>
      </c>
      <c r="M502" s="4">
        <v>1.4231000000000001E-2</v>
      </c>
      <c r="N502" s="4" t="s">
        <v>20</v>
      </c>
    </row>
    <row r="503" spans="1:14" ht="17" x14ac:dyDescent="0.35">
      <c r="A503" s="15">
        <v>111</v>
      </c>
      <c r="B503" s="16">
        <v>15.525</v>
      </c>
      <c r="C503" s="4">
        <v>2.3858999999999999</v>
      </c>
      <c r="D503" s="4">
        <v>0.41913</v>
      </c>
      <c r="E503" s="4">
        <v>1.7377</v>
      </c>
      <c r="F503" s="4">
        <v>2.3883999999999999</v>
      </c>
      <c r="G503" s="4">
        <v>134.61000000000001</v>
      </c>
      <c r="H503" s="4">
        <v>26.283000000000001</v>
      </c>
      <c r="I503" s="4">
        <v>60.527000000000001</v>
      </c>
      <c r="J503" s="4">
        <v>180.28</v>
      </c>
      <c r="K503" s="4">
        <v>1.4545999999999999</v>
      </c>
      <c r="L503" s="4">
        <v>8.7715999999999994</v>
      </c>
      <c r="M503" s="4">
        <v>1.4284E-2</v>
      </c>
      <c r="N503" s="4" t="s">
        <v>20</v>
      </c>
    </row>
    <row r="504" spans="1:14" ht="17" x14ac:dyDescent="0.35">
      <c r="A504" s="15">
        <v>111.11</v>
      </c>
      <c r="B504" s="16">
        <v>15.625</v>
      </c>
      <c r="C504" s="4">
        <v>2.4037000000000002</v>
      </c>
      <c r="D504" s="4">
        <v>0.41602</v>
      </c>
      <c r="E504" s="4">
        <v>1.7363999999999999</v>
      </c>
      <c r="F504" s="4">
        <v>2.3864000000000001</v>
      </c>
      <c r="G504" s="4">
        <v>134.56</v>
      </c>
      <c r="H504" s="4">
        <v>26.315999999999999</v>
      </c>
      <c r="I504" s="4">
        <v>60.863</v>
      </c>
      <c r="J504" s="4">
        <v>180.22</v>
      </c>
      <c r="K504" s="4">
        <v>1.4516</v>
      </c>
      <c r="L504" s="4">
        <v>8.7883999999999993</v>
      </c>
      <c r="M504" s="4">
        <v>1.4337000000000001E-2</v>
      </c>
      <c r="N504" s="4" t="s">
        <v>20</v>
      </c>
    </row>
    <row r="505" spans="1:14" ht="17" x14ac:dyDescent="0.35">
      <c r="A505" s="15">
        <v>111.22</v>
      </c>
      <c r="B505" s="16">
        <v>15.725</v>
      </c>
      <c r="C505" s="4">
        <v>2.4216000000000002</v>
      </c>
      <c r="D505" s="4">
        <v>0.41295999999999999</v>
      </c>
      <c r="E505" s="4">
        <v>1.7350000000000001</v>
      </c>
      <c r="F505" s="4">
        <v>2.3843999999999999</v>
      </c>
      <c r="G505" s="4">
        <v>134.5</v>
      </c>
      <c r="H505" s="4">
        <v>26.349</v>
      </c>
      <c r="I505" s="4">
        <v>61.204000000000001</v>
      </c>
      <c r="J505" s="4">
        <v>180.17</v>
      </c>
      <c r="K505" s="4">
        <v>1.4486000000000001</v>
      </c>
      <c r="L505" s="4">
        <v>8.8053000000000008</v>
      </c>
      <c r="M505" s="4">
        <v>1.439E-2</v>
      </c>
      <c r="N505" s="4" t="s">
        <v>20</v>
      </c>
    </row>
    <row r="506" spans="1:14" ht="17" x14ac:dyDescent="0.35">
      <c r="A506" s="15">
        <v>111.34</v>
      </c>
      <c r="B506" s="16">
        <v>15.824999999999999</v>
      </c>
      <c r="C506" s="4">
        <v>2.4394999999999998</v>
      </c>
      <c r="D506" s="4">
        <v>0.40993000000000002</v>
      </c>
      <c r="E506" s="4">
        <v>1.7337</v>
      </c>
      <c r="F506" s="4">
        <v>2.3824000000000001</v>
      </c>
      <c r="G506" s="4">
        <v>134.44999999999999</v>
      </c>
      <c r="H506" s="4">
        <v>26.382000000000001</v>
      </c>
      <c r="I506" s="4">
        <v>61.548999999999999</v>
      </c>
      <c r="J506" s="4">
        <v>180.11</v>
      </c>
      <c r="K506" s="4">
        <v>1.4456</v>
      </c>
      <c r="L506" s="4">
        <v>8.8222000000000005</v>
      </c>
      <c r="M506" s="4">
        <v>1.4444E-2</v>
      </c>
      <c r="N506" s="4" t="s">
        <v>20</v>
      </c>
    </row>
    <row r="507" spans="1:14" ht="17" x14ac:dyDescent="0.35">
      <c r="A507" s="15">
        <v>111.45</v>
      </c>
      <c r="B507" s="16">
        <v>15.925000000000001</v>
      </c>
      <c r="C507" s="4">
        <v>2.4573999999999998</v>
      </c>
      <c r="D507" s="4">
        <v>0.40693000000000001</v>
      </c>
      <c r="E507" s="4">
        <v>1.7323</v>
      </c>
      <c r="F507" s="4">
        <v>2.3803000000000001</v>
      </c>
      <c r="G507" s="4">
        <v>134.38999999999999</v>
      </c>
      <c r="H507" s="4">
        <v>26.416</v>
      </c>
      <c r="I507" s="4">
        <v>61.896999999999998</v>
      </c>
      <c r="J507" s="4">
        <v>180.05</v>
      </c>
      <c r="K507" s="4">
        <v>1.4424999999999999</v>
      </c>
      <c r="L507" s="4">
        <v>8.8391000000000002</v>
      </c>
      <c r="M507" s="4">
        <v>1.4498E-2</v>
      </c>
      <c r="N507" s="4" t="s">
        <v>20</v>
      </c>
    </row>
    <row r="508" spans="1:14" ht="17" x14ac:dyDescent="0.35">
      <c r="A508" s="15">
        <v>111.56</v>
      </c>
      <c r="B508" s="16">
        <v>16.024999999999999</v>
      </c>
      <c r="C508" s="4">
        <v>2.4754999999999998</v>
      </c>
      <c r="D508" s="4">
        <v>0.40397</v>
      </c>
      <c r="E508" s="4">
        <v>1.7309000000000001</v>
      </c>
      <c r="F508" s="4">
        <v>2.3782000000000001</v>
      </c>
      <c r="G508" s="4">
        <v>134.33000000000001</v>
      </c>
      <c r="H508" s="4">
        <v>26.449000000000002</v>
      </c>
      <c r="I508" s="4">
        <v>62.25</v>
      </c>
      <c r="J508" s="4">
        <v>179.99</v>
      </c>
      <c r="K508" s="4">
        <v>1.4395</v>
      </c>
      <c r="L508" s="4">
        <v>8.8559999999999999</v>
      </c>
      <c r="M508" s="4">
        <v>1.4552000000000001E-2</v>
      </c>
      <c r="N508" s="4" t="s">
        <v>20</v>
      </c>
    </row>
    <row r="509" spans="1:14" ht="17" x14ac:dyDescent="0.35">
      <c r="A509" s="15">
        <v>111.67</v>
      </c>
      <c r="B509" s="16">
        <v>16.125</v>
      </c>
      <c r="C509" s="4">
        <v>2.4935</v>
      </c>
      <c r="D509" s="4">
        <v>0.40104000000000001</v>
      </c>
      <c r="E509" s="4">
        <v>1.7294</v>
      </c>
      <c r="F509" s="4">
        <v>2.3761000000000001</v>
      </c>
      <c r="G509" s="4">
        <v>134.28</v>
      </c>
      <c r="H509" s="4">
        <v>26.483000000000001</v>
      </c>
      <c r="I509" s="4">
        <v>62.606999999999999</v>
      </c>
      <c r="J509" s="4">
        <v>179.93</v>
      </c>
      <c r="K509" s="4">
        <v>1.4366000000000001</v>
      </c>
      <c r="L509" s="4">
        <v>8.8728999999999996</v>
      </c>
      <c r="M509" s="4">
        <v>1.4607E-2</v>
      </c>
      <c r="N509" s="4" t="s">
        <v>20</v>
      </c>
    </row>
    <row r="510" spans="1:14" ht="17" x14ac:dyDescent="0.35">
      <c r="A510" s="15">
        <v>111.78</v>
      </c>
      <c r="B510" s="16">
        <v>16.225000000000001</v>
      </c>
      <c r="C510" s="4">
        <v>2.5116999999999998</v>
      </c>
      <c r="D510" s="4">
        <v>0.39813999999999999</v>
      </c>
      <c r="E510" s="4">
        <v>1.728</v>
      </c>
      <c r="F510" s="4">
        <v>2.3740000000000001</v>
      </c>
      <c r="G510" s="4">
        <v>134.22999999999999</v>
      </c>
      <c r="H510" s="4">
        <v>26.516999999999999</v>
      </c>
      <c r="I510" s="4">
        <v>62.968000000000004</v>
      </c>
      <c r="J510" s="4">
        <v>179.87</v>
      </c>
      <c r="K510" s="4">
        <v>1.4336</v>
      </c>
      <c r="L510" s="4">
        <v>8.8899000000000008</v>
      </c>
      <c r="M510" s="4">
        <v>1.4662E-2</v>
      </c>
      <c r="N510" s="4" t="s">
        <v>20</v>
      </c>
    </row>
    <row r="511" spans="1:14" ht="17" x14ac:dyDescent="0.35">
      <c r="A511" s="15">
        <v>111.89</v>
      </c>
      <c r="B511" s="16">
        <v>16.324999999999999</v>
      </c>
      <c r="C511" s="4">
        <v>2.5299</v>
      </c>
      <c r="D511" s="4">
        <v>0.39528000000000002</v>
      </c>
      <c r="E511" s="4">
        <v>1.7265999999999999</v>
      </c>
      <c r="F511" s="4">
        <v>2.3719000000000001</v>
      </c>
      <c r="G511" s="4">
        <v>134.16999999999999</v>
      </c>
      <c r="H511" s="4">
        <v>26.552</v>
      </c>
      <c r="I511" s="4">
        <v>63.334000000000003</v>
      </c>
      <c r="J511" s="4">
        <v>179.81</v>
      </c>
      <c r="K511" s="4">
        <v>1.4306000000000001</v>
      </c>
      <c r="L511" s="4">
        <v>8.9068000000000005</v>
      </c>
      <c r="M511" s="4">
        <v>1.4716999999999999E-2</v>
      </c>
      <c r="N511" s="4" t="s">
        <v>20</v>
      </c>
    </row>
    <row r="512" spans="1:14" ht="17" x14ac:dyDescent="0.35">
      <c r="A512" s="15">
        <v>112</v>
      </c>
      <c r="B512" s="16">
        <v>16.425000000000001</v>
      </c>
      <c r="C512" s="4">
        <v>2.5480999999999998</v>
      </c>
      <c r="D512" s="4">
        <v>0.39244000000000001</v>
      </c>
      <c r="E512" s="4">
        <v>1.7251000000000001</v>
      </c>
      <c r="F512" s="4">
        <v>2.3696999999999999</v>
      </c>
      <c r="G512" s="4">
        <v>134.12</v>
      </c>
      <c r="H512" s="4">
        <v>26.585999999999999</v>
      </c>
      <c r="I512" s="4">
        <v>63.704000000000001</v>
      </c>
      <c r="J512" s="4">
        <v>179.75</v>
      </c>
      <c r="K512" s="4">
        <v>1.4276</v>
      </c>
      <c r="L512" s="4">
        <v>8.9238</v>
      </c>
      <c r="M512" s="4">
        <v>1.4773E-2</v>
      </c>
      <c r="N512" s="4" t="s">
        <v>20</v>
      </c>
    </row>
    <row r="513" spans="1:14" ht="17" x14ac:dyDescent="0.35">
      <c r="A513" s="15">
        <v>112.1</v>
      </c>
      <c r="B513" s="16">
        <v>16.524999999999999</v>
      </c>
      <c r="C513" s="4">
        <v>2.5665</v>
      </c>
      <c r="D513" s="4">
        <v>0.38963999999999999</v>
      </c>
      <c r="E513" s="4">
        <v>1.7236</v>
      </c>
      <c r="F513" s="4">
        <v>2.3675000000000002</v>
      </c>
      <c r="G513" s="4">
        <v>134.06</v>
      </c>
      <c r="H513" s="4">
        <v>26.620999999999999</v>
      </c>
      <c r="I513" s="4">
        <v>64.078000000000003</v>
      </c>
      <c r="J513" s="4">
        <v>179.69</v>
      </c>
      <c r="K513" s="4">
        <v>1.4246000000000001</v>
      </c>
      <c r="L513" s="4">
        <v>8.9408999999999992</v>
      </c>
      <c r="M513" s="4">
        <v>1.4829E-2</v>
      </c>
      <c r="N513" s="4" t="s">
        <v>20</v>
      </c>
    </row>
    <row r="514" spans="1:14" ht="17" x14ac:dyDescent="0.35">
      <c r="A514" s="15">
        <v>112.21</v>
      </c>
      <c r="B514" s="16">
        <v>16.625</v>
      </c>
      <c r="C514" s="4">
        <v>2.5848</v>
      </c>
      <c r="D514" s="4">
        <v>0.38686999999999999</v>
      </c>
      <c r="E514" s="4">
        <v>1.7221</v>
      </c>
      <c r="F514" s="4">
        <v>2.3653</v>
      </c>
      <c r="G514" s="4">
        <v>134.01</v>
      </c>
      <c r="H514" s="4">
        <v>26.655999999999999</v>
      </c>
      <c r="I514" s="4">
        <v>64.456999999999994</v>
      </c>
      <c r="J514" s="4">
        <v>179.63</v>
      </c>
      <c r="K514" s="4">
        <v>1.4217</v>
      </c>
      <c r="L514" s="4">
        <v>8.9579000000000004</v>
      </c>
      <c r="M514" s="4">
        <v>1.4885000000000001E-2</v>
      </c>
      <c r="N514" s="4" t="s">
        <v>20</v>
      </c>
    </row>
    <row r="515" spans="1:14" ht="17" x14ac:dyDescent="0.35">
      <c r="A515" s="15">
        <v>112.32</v>
      </c>
      <c r="B515" s="16">
        <v>16.725000000000001</v>
      </c>
      <c r="C515" s="4">
        <v>2.6032999999999999</v>
      </c>
      <c r="D515" s="4">
        <v>0.38413000000000003</v>
      </c>
      <c r="E515" s="4">
        <v>1.7204999999999999</v>
      </c>
      <c r="F515" s="4">
        <v>2.363</v>
      </c>
      <c r="G515" s="4">
        <v>133.94999999999999</v>
      </c>
      <c r="H515" s="4">
        <v>26.690999999999999</v>
      </c>
      <c r="I515" s="4">
        <v>64.84</v>
      </c>
      <c r="J515" s="4">
        <v>179.56</v>
      </c>
      <c r="K515" s="4">
        <v>1.4187000000000001</v>
      </c>
      <c r="L515" s="4">
        <v>8.9749999999999996</v>
      </c>
      <c r="M515" s="4">
        <v>1.4942E-2</v>
      </c>
      <c r="N515" s="4" t="s">
        <v>20</v>
      </c>
    </row>
    <row r="516" spans="1:14" ht="17" x14ac:dyDescent="0.35">
      <c r="A516" s="15">
        <v>112.43</v>
      </c>
      <c r="B516" s="16">
        <v>16.824999999999999</v>
      </c>
      <c r="C516" s="4">
        <v>2.6217999999999999</v>
      </c>
      <c r="D516" s="4">
        <v>0.38141999999999998</v>
      </c>
      <c r="E516" s="4">
        <v>1.7190000000000001</v>
      </c>
      <c r="F516" s="4">
        <v>2.3607</v>
      </c>
      <c r="G516" s="4">
        <v>133.9</v>
      </c>
      <c r="H516" s="4">
        <v>26.725999999999999</v>
      </c>
      <c r="I516" s="4">
        <v>65.228999999999999</v>
      </c>
      <c r="J516" s="4">
        <v>179.5</v>
      </c>
      <c r="K516" s="4">
        <v>1.4157999999999999</v>
      </c>
      <c r="L516" s="4">
        <v>8.9921000000000006</v>
      </c>
      <c r="M516" s="4">
        <v>1.4999E-2</v>
      </c>
      <c r="N516" s="4" t="s">
        <v>20</v>
      </c>
    </row>
    <row r="517" spans="1:14" ht="17" x14ac:dyDescent="0.35">
      <c r="A517" s="15">
        <v>112.53</v>
      </c>
      <c r="B517" s="16">
        <v>16.925000000000001</v>
      </c>
      <c r="C517" s="4">
        <v>2.6404000000000001</v>
      </c>
      <c r="D517" s="4">
        <v>0.37874000000000002</v>
      </c>
      <c r="E517" s="4">
        <v>1.7174</v>
      </c>
      <c r="F517" s="4">
        <v>2.3584000000000001</v>
      </c>
      <c r="G517" s="4">
        <v>133.84</v>
      </c>
      <c r="H517" s="4">
        <v>26.762</v>
      </c>
      <c r="I517" s="4">
        <v>65.622</v>
      </c>
      <c r="J517" s="4">
        <v>179.44</v>
      </c>
      <c r="K517" s="4">
        <v>1.4128000000000001</v>
      </c>
      <c r="L517" s="4">
        <v>9.0091999999999999</v>
      </c>
      <c r="M517" s="4">
        <v>1.5056E-2</v>
      </c>
      <c r="N517" s="4" t="s">
        <v>20</v>
      </c>
    </row>
    <row r="518" spans="1:14" ht="17" x14ac:dyDescent="0.35">
      <c r="A518" s="15">
        <v>112.64</v>
      </c>
      <c r="B518" s="16">
        <v>17.024999999999999</v>
      </c>
      <c r="C518" s="4">
        <v>2.6589999999999998</v>
      </c>
      <c r="D518" s="4">
        <v>0.37608000000000003</v>
      </c>
      <c r="E518" s="4">
        <v>1.7158</v>
      </c>
      <c r="F518" s="4">
        <v>2.3561000000000001</v>
      </c>
      <c r="G518" s="4">
        <v>133.79</v>
      </c>
      <c r="H518" s="4">
        <v>26.797999999999998</v>
      </c>
      <c r="I518" s="4">
        <v>66.02</v>
      </c>
      <c r="J518" s="4">
        <v>179.37</v>
      </c>
      <c r="K518" s="4">
        <v>1.4097999999999999</v>
      </c>
      <c r="L518" s="4">
        <v>9.0264000000000006</v>
      </c>
      <c r="M518" s="4">
        <v>1.5113E-2</v>
      </c>
      <c r="N518" s="4" t="s">
        <v>20</v>
      </c>
    </row>
    <row r="519" spans="1:14" ht="17" x14ac:dyDescent="0.35">
      <c r="A519" s="15">
        <v>112.74</v>
      </c>
      <c r="B519" s="16">
        <v>17.125</v>
      </c>
      <c r="C519" s="4">
        <v>2.6777000000000002</v>
      </c>
      <c r="D519" s="4">
        <v>0.37346000000000001</v>
      </c>
      <c r="E519" s="4">
        <v>1.7141999999999999</v>
      </c>
      <c r="F519" s="4">
        <v>2.3538000000000001</v>
      </c>
      <c r="G519" s="4">
        <v>133.74</v>
      </c>
      <c r="H519" s="4">
        <v>26.834</v>
      </c>
      <c r="I519" s="4">
        <v>66.423000000000002</v>
      </c>
      <c r="J519" s="4">
        <v>179.31</v>
      </c>
      <c r="K519" s="4">
        <v>1.4069</v>
      </c>
      <c r="L519" s="4">
        <v>9.0435999999999996</v>
      </c>
      <c r="M519" s="4">
        <v>1.5171E-2</v>
      </c>
      <c r="N519" s="4" t="s">
        <v>20</v>
      </c>
    </row>
    <row r="520" spans="1:14" ht="17" x14ac:dyDescent="0.35">
      <c r="A520" s="15">
        <v>112.85</v>
      </c>
      <c r="B520" s="16">
        <v>17.225000000000001</v>
      </c>
      <c r="C520" s="4">
        <v>2.6964999999999999</v>
      </c>
      <c r="D520" s="4">
        <v>0.37086000000000002</v>
      </c>
      <c r="E520" s="4">
        <v>1.7125999999999999</v>
      </c>
      <c r="F520" s="4">
        <v>2.3513999999999999</v>
      </c>
      <c r="G520" s="4">
        <v>133.68</v>
      </c>
      <c r="H520" s="4">
        <v>26.870999999999999</v>
      </c>
      <c r="I520" s="4">
        <v>66.831000000000003</v>
      </c>
      <c r="J520" s="4">
        <v>179.25</v>
      </c>
      <c r="K520" s="4">
        <v>1.4038999999999999</v>
      </c>
      <c r="L520" s="4">
        <v>9.0608000000000004</v>
      </c>
      <c r="M520" s="4">
        <v>1.523E-2</v>
      </c>
      <c r="N520" s="4" t="s">
        <v>20</v>
      </c>
    </row>
    <row r="521" spans="1:14" ht="17" x14ac:dyDescent="0.35">
      <c r="A521" s="15">
        <v>112.95</v>
      </c>
      <c r="B521" s="16">
        <v>17.324999999999999</v>
      </c>
      <c r="C521" s="4">
        <v>2.7153</v>
      </c>
      <c r="D521" s="4">
        <v>0.36828</v>
      </c>
      <c r="E521" s="4">
        <v>1.7109000000000001</v>
      </c>
      <c r="F521" s="4">
        <v>2.3490000000000002</v>
      </c>
      <c r="G521" s="4">
        <v>133.63</v>
      </c>
      <c r="H521" s="4">
        <v>26.908000000000001</v>
      </c>
      <c r="I521" s="4">
        <v>67.244</v>
      </c>
      <c r="J521" s="4">
        <v>179.18</v>
      </c>
      <c r="K521" s="4">
        <v>1.401</v>
      </c>
      <c r="L521" s="4">
        <v>9.0779999999999994</v>
      </c>
      <c r="M521" s="4">
        <v>1.5288E-2</v>
      </c>
      <c r="N521" s="4" t="s">
        <v>20</v>
      </c>
    </row>
    <row r="522" spans="1:14" ht="17" x14ac:dyDescent="0.35">
      <c r="A522" s="15">
        <v>113.06</v>
      </c>
      <c r="B522" s="16">
        <v>17.425000000000001</v>
      </c>
      <c r="C522" s="4">
        <v>2.7342</v>
      </c>
      <c r="D522" s="4">
        <v>0.36574000000000001</v>
      </c>
      <c r="E522" s="4">
        <v>1.7093</v>
      </c>
      <c r="F522" s="4">
        <v>2.3466</v>
      </c>
      <c r="G522" s="4">
        <v>133.57</v>
      </c>
      <c r="H522" s="4">
        <v>26.945</v>
      </c>
      <c r="I522" s="4">
        <v>67.662999999999997</v>
      </c>
      <c r="J522" s="4">
        <v>179.12</v>
      </c>
      <c r="K522" s="4">
        <v>1.3980999999999999</v>
      </c>
      <c r="L522" s="4">
        <v>9.0952999999999999</v>
      </c>
      <c r="M522" s="4">
        <v>1.5347E-2</v>
      </c>
      <c r="N522" s="4" t="s">
        <v>20</v>
      </c>
    </row>
    <row r="523" spans="1:14" ht="17" x14ac:dyDescent="0.35">
      <c r="A523" s="15">
        <v>113.16</v>
      </c>
      <c r="B523" s="16">
        <v>17.524999999999999</v>
      </c>
      <c r="C523" s="4">
        <v>2.7532000000000001</v>
      </c>
      <c r="D523" s="4">
        <v>0.36321999999999999</v>
      </c>
      <c r="E523" s="4">
        <v>1.7076</v>
      </c>
      <c r="F523" s="4">
        <v>2.3441000000000001</v>
      </c>
      <c r="G523" s="4">
        <v>133.52000000000001</v>
      </c>
      <c r="H523" s="4">
        <v>26.981999999999999</v>
      </c>
      <c r="I523" s="4">
        <v>68.087000000000003</v>
      </c>
      <c r="J523" s="4">
        <v>179.05</v>
      </c>
      <c r="K523" s="4">
        <v>1.3951</v>
      </c>
      <c r="L523" s="4">
        <v>9.1126000000000005</v>
      </c>
      <c r="M523" s="4">
        <v>1.5407000000000001E-2</v>
      </c>
      <c r="N523" s="4" t="s">
        <v>20</v>
      </c>
    </row>
    <row r="524" spans="1:14" ht="17" x14ac:dyDescent="0.35">
      <c r="A524" s="15">
        <v>113.26</v>
      </c>
      <c r="B524" s="16">
        <v>17.625</v>
      </c>
      <c r="C524" s="4">
        <v>2.7722000000000002</v>
      </c>
      <c r="D524" s="4">
        <v>0.36073</v>
      </c>
      <c r="E524" s="4">
        <v>1.7059</v>
      </c>
      <c r="F524" s="4">
        <v>2.3416999999999999</v>
      </c>
      <c r="G524" s="4">
        <v>133.47</v>
      </c>
      <c r="H524" s="4">
        <v>27.018999999999998</v>
      </c>
      <c r="I524" s="4">
        <v>68.516000000000005</v>
      </c>
      <c r="J524" s="4">
        <v>178.98</v>
      </c>
      <c r="K524" s="4">
        <v>1.3922000000000001</v>
      </c>
      <c r="L524" s="4">
        <v>9.1300000000000008</v>
      </c>
      <c r="M524" s="4">
        <v>1.5467E-2</v>
      </c>
      <c r="N524" s="4" t="s">
        <v>20</v>
      </c>
    </row>
    <row r="525" spans="1:14" ht="17" x14ac:dyDescent="0.35">
      <c r="A525" s="15">
        <v>113.37</v>
      </c>
      <c r="B525" s="16">
        <v>17.725000000000001</v>
      </c>
      <c r="C525" s="4">
        <v>2.7913000000000001</v>
      </c>
      <c r="D525" s="4">
        <v>0.35826000000000002</v>
      </c>
      <c r="E525" s="4">
        <v>1.7041999999999999</v>
      </c>
      <c r="F525" s="4">
        <v>2.3391999999999999</v>
      </c>
      <c r="G525" s="4">
        <v>133.41</v>
      </c>
      <c r="H525" s="4">
        <v>27.056999999999999</v>
      </c>
      <c r="I525" s="4">
        <v>68.950999999999993</v>
      </c>
      <c r="J525" s="4">
        <v>178.92</v>
      </c>
      <c r="K525" s="4">
        <v>1.3892</v>
      </c>
      <c r="L525" s="4">
        <v>9.1473999999999993</v>
      </c>
      <c r="M525" s="4">
        <v>1.5526999999999999E-2</v>
      </c>
      <c r="N525" s="4" t="s">
        <v>20</v>
      </c>
    </row>
    <row r="526" spans="1:14" ht="17" x14ac:dyDescent="0.35">
      <c r="A526" s="15">
        <v>113.47</v>
      </c>
      <c r="B526" s="16">
        <v>17.824999999999999</v>
      </c>
      <c r="C526" s="4">
        <v>2.8105000000000002</v>
      </c>
      <c r="D526" s="4">
        <v>0.35581000000000002</v>
      </c>
      <c r="E526" s="4">
        <v>1.7023999999999999</v>
      </c>
      <c r="F526" s="4">
        <v>2.3367</v>
      </c>
      <c r="G526" s="4">
        <v>133.36000000000001</v>
      </c>
      <c r="H526" s="4">
        <v>27.094999999999999</v>
      </c>
      <c r="I526" s="4">
        <v>69.391999999999996</v>
      </c>
      <c r="J526" s="4">
        <v>178.85</v>
      </c>
      <c r="K526" s="4">
        <v>1.3863000000000001</v>
      </c>
      <c r="L526" s="4">
        <v>9.1647999999999996</v>
      </c>
      <c r="M526" s="4">
        <v>1.5587999999999999E-2</v>
      </c>
      <c r="N526" s="4" t="s">
        <v>20</v>
      </c>
    </row>
    <row r="527" spans="1:14" ht="17" x14ac:dyDescent="0.35">
      <c r="A527" s="15">
        <v>113.57</v>
      </c>
      <c r="B527" s="16">
        <v>17.925000000000001</v>
      </c>
      <c r="C527" s="4">
        <v>2.8296999999999999</v>
      </c>
      <c r="D527" s="4">
        <v>0.35338999999999998</v>
      </c>
      <c r="E527" s="4">
        <v>1.7007000000000001</v>
      </c>
      <c r="F527" s="4">
        <v>2.3340999999999998</v>
      </c>
      <c r="G527" s="4">
        <v>133.31</v>
      </c>
      <c r="H527" s="4">
        <v>27.134</v>
      </c>
      <c r="I527" s="4">
        <v>69.837999999999994</v>
      </c>
      <c r="J527" s="4">
        <v>178.78</v>
      </c>
      <c r="K527" s="4">
        <v>1.3834</v>
      </c>
      <c r="L527" s="4">
        <v>9.1821999999999999</v>
      </c>
      <c r="M527" s="4">
        <v>1.5649E-2</v>
      </c>
      <c r="N527" s="4" t="s">
        <v>20</v>
      </c>
    </row>
    <row r="528" spans="1:14" ht="17" x14ac:dyDescent="0.35">
      <c r="A528" s="15">
        <v>113.67</v>
      </c>
      <c r="B528" s="16">
        <v>18.024999999999999</v>
      </c>
      <c r="C528" s="4">
        <v>2.8490000000000002</v>
      </c>
      <c r="D528" s="4">
        <v>0.35099999999999998</v>
      </c>
      <c r="E528" s="4">
        <v>1.6989000000000001</v>
      </c>
      <c r="F528" s="4">
        <v>2.3315999999999999</v>
      </c>
      <c r="G528" s="4">
        <v>133.25</v>
      </c>
      <c r="H528" s="4">
        <v>27.172000000000001</v>
      </c>
      <c r="I528" s="4">
        <v>70.290000000000006</v>
      </c>
      <c r="J528" s="4">
        <v>178.71</v>
      </c>
      <c r="K528" s="4">
        <v>1.3804000000000001</v>
      </c>
      <c r="L528" s="4">
        <v>9.1997</v>
      </c>
      <c r="M528" s="4">
        <v>1.5709999999999998E-2</v>
      </c>
      <c r="N528" s="4" t="s">
        <v>20</v>
      </c>
    </row>
    <row r="529" spans="1:14" ht="17" x14ac:dyDescent="0.35">
      <c r="A529" s="15">
        <v>113.77</v>
      </c>
      <c r="B529" s="16">
        <v>18.125</v>
      </c>
      <c r="C529" s="4">
        <v>2.8683999999999998</v>
      </c>
      <c r="D529" s="4">
        <v>0.34863</v>
      </c>
      <c r="E529" s="4">
        <v>1.6971000000000001</v>
      </c>
      <c r="F529" s="4">
        <v>2.3290000000000002</v>
      </c>
      <c r="G529" s="4">
        <v>133.19999999999999</v>
      </c>
      <c r="H529" s="4">
        <v>27.210999999999999</v>
      </c>
      <c r="I529" s="4">
        <v>70.748999999999995</v>
      </c>
      <c r="J529" s="4">
        <v>178.64</v>
      </c>
      <c r="K529" s="4">
        <v>1.3774999999999999</v>
      </c>
      <c r="L529" s="4">
        <v>9.2172999999999998</v>
      </c>
      <c r="M529" s="4">
        <v>1.5772000000000001E-2</v>
      </c>
      <c r="N529" s="4" t="s">
        <v>20</v>
      </c>
    </row>
    <row r="530" spans="1:14" ht="17" x14ac:dyDescent="0.35">
      <c r="A530" s="15">
        <v>113.87</v>
      </c>
      <c r="B530" s="16">
        <v>18.225000000000001</v>
      </c>
      <c r="C530" s="4">
        <v>2.8879000000000001</v>
      </c>
      <c r="D530" s="4">
        <v>0.34627999999999998</v>
      </c>
      <c r="E530" s="4">
        <v>1.6953</v>
      </c>
      <c r="F530" s="4">
        <v>2.3264</v>
      </c>
      <c r="G530" s="4">
        <v>133.13999999999999</v>
      </c>
      <c r="H530" s="4">
        <v>27.251000000000001</v>
      </c>
      <c r="I530" s="4">
        <v>71.212999999999994</v>
      </c>
      <c r="J530" s="4">
        <v>178.58</v>
      </c>
      <c r="K530" s="4">
        <v>1.3746</v>
      </c>
      <c r="L530" s="4">
        <v>9.2348999999999997</v>
      </c>
      <c r="M530" s="4">
        <v>1.5834000000000001E-2</v>
      </c>
      <c r="N530" s="4" t="s">
        <v>20</v>
      </c>
    </row>
    <row r="531" spans="1:14" ht="17" x14ac:dyDescent="0.35">
      <c r="A531" s="15">
        <v>113.97</v>
      </c>
      <c r="B531" s="16">
        <v>18.324999999999999</v>
      </c>
      <c r="C531" s="4">
        <v>2.9074</v>
      </c>
      <c r="D531" s="4">
        <v>0.34394999999999998</v>
      </c>
      <c r="E531" s="4">
        <v>1.6934</v>
      </c>
      <c r="F531" s="4">
        <v>2.3237000000000001</v>
      </c>
      <c r="G531" s="4">
        <v>133.09</v>
      </c>
      <c r="H531" s="4">
        <v>27.29</v>
      </c>
      <c r="I531" s="4">
        <v>71.683999999999997</v>
      </c>
      <c r="J531" s="4">
        <v>178.51</v>
      </c>
      <c r="K531" s="4">
        <v>1.3715999999999999</v>
      </c>
      <c r="L531" s="4">
        <v>9.2524999999999995</v>
      </c>
      <c r="M531" s="4">
        <v>1.5897000000000001E-2</v>
      </c>
      <c r="N531" s="4" t="s">
        <v>20</v>
      </c>
    </row>
    <row r="532" spans="1:14" ht="17" x14ac:dyDescent="0.35">
      <c r="A532" s="15">
        <v>114.07</v>
      </c>
      <c r="B532" s="16">
        <v>18.425000000000001</v>
      </c>
      <c r="C532" s="4">
        <v>2.927</v>
      </c>
      <c r="D532" s="4">
        <v>0.34165000000000001</v>
      </c>
      <c r="E532" s="4">
        <v>1.6916</v>
      </c>
      <c r="F532" s="4">
        <v>2.3210000000000002</v>
      </c>
      <c r="G532" s="4">
        <v>133.04</v>
      </c>
      <c r="H532" s="4">
        <v>27.33</v>
      </c>
      <c r="I532" s="4">
        <v>72.161000000000001</v>
      </c>
      <c r="J532" s="4">
        <v>178.44</v>
      </c>
      <c r="K532" s="4">
        <v>1.3687</v>
      </c>
      <c r="L532" s="4">
        <v>9.2700999999999993</v>
      </c>
      <c r="M532" s="4">
        <v>1.5959999999999998E-2</v>
      </c>
      <c r="N532" s="4" t="s">
        <v>20</v>
      </c>
    </row>
    <row r="533" spans="1:14" ht="17" x14ac:dyDescent="0.35">
      <c r="A533" s="15">
        <v>114.17</v>
      </c>
      <c r="B533" s="16">
        <v>18.524999999999999</v>
      </c>
      <c r="C533" s="4">
        <v>2.9466999999999999</v>
      </c>
      <c r="D533" s="4">
        <v>0.33937</v>
      </c>
      <c r="E533" s="4">
        <v>1.6897</v>
      </c>
      <c r="F533" s="4">
        <v>2.3184</v>
      </c>
      <c r="G533" s="4">
        <v>132.97999999999999</v>
      </c>
      <c r="H533" s="4">
        <v>27.37</v>
      </c>
      <c r="I533" s="4">
        <v>72.644999999999996</v>
      </c>
      <c r="J533" s="4">
        <v>178.36</v>
      </c>
      <c r="K533" s="4">
        <v>1.3657999999999999</v>
      </c>
      <c r="L533" s="4">
        <v>9.2879000000000005</v>
      </c>
      <c r="M533" s="4">
        <v>1.6024E-2</v>
      </c>
      <c r="N533" s="4" t="s">
        <v>20</v>
      </c>
    </row>
    <row r="534" spans="1:14" ht="17" x14ac:dyDescent="0.35">
      <c r="A534" s="15">
        <v>114.27</v>
      </c>
      <c r="B534" s="16">
        <v>18.625</v>
      </c>
      <c r="C534" s="4">
        <v>2.9664000000000001</v>
      </c>
      <c r="D534" s="4">
        <v>0.33711000000000002</v>
      </c>
      <c r="E534" s="4">
        <v>1.6878</v>
      </c>
      <c r="F534" s="4">
        <v>2.3155999999999999</v>
      </c>
      <c r="G534" s="4">
        <v>132.93</v>
      </c>
      <c r="H534" s="4">
        <v>27.411000000000001</v>
      </c>
      <c r="I534" s="4">
        <v>73.135000000000005</v>
      </c>
      <c r="J534" s="4">
        <v>178.29</v>
      </c>
      <c r="K534" s="4">
        <v>1.3628</v>
      </c>
      <c r="L534" s="4">
        <v>9.3056000000000001</v>
      </c>
      <c r="M534" s="4">
        <v>1.6088000000000002E-2</v>
      </c>
      <c r="N534" s="4" t="s">
        <v>20</v>
      </c>
    </row>
    <row r="535" spans="1:14" ht="17" x14ac:dyDescent="0.35">
      <c r="A535" s="15">
        <v>114.37</v>
      </c>
      <c r="B535" s="16">
        <v>18.725000000000001</v>
      </c>
      <c r="C535" s="4">
        <v>2.9863</v>
      </c>
      <c r="D535" s="4">
        <v>0.33487</v>
      </c>
      <c r="E535" s="4">
        <v>1.6859</v>
      </c>
      <c r="F535" s="4">
        <v>2.3129</v>
      </c>
      <c r="G535" s="4">
        <v>132.88</v>
      </c>
      <c r="H535" s="4">
        <v>27.451000000000001</v>
      </c>
      <c r="I535" s="4">
        <v>73.632000000000005</v>
      </c>
      <c r="J535" s="4">
        <v>178.22</v>
      </c>
      <c r="K535" s="4">
        <v>1.3599000000000001</v>
      </c>
      <c r="L535" s="4">
        <v>9.3233999999999995</v>
      </c>
      <c r="M535" s="4">
        <v>1.6152E-2</v>
      </c>
      <c r="N535" s="4" t="s">
        <v>20</v>
      </c>
    </row>
    <row r="536" spans="1:14" ht="17" x14ac:dyDescent="0.35">
      <c r="A536" s="15">
        <v>114.47</v>
      </c>
      <c r="B536" s="16">
        <v>18.824999999999999</v>
      </c>
      <c r="C536" s="4">
        <v>3.0062000000000002</v>
      </c>
      <c r="D536" s="4">
        <v>0.33265</v>
      </c>
      <c r="E536" s="4">
        <v>1.6839</v>
      </c>
      <c r="F536" s="4">
        <v>2.3100999999999998</v>
      </c>
      <c r="G536" s="4">
        <v>132.82</v>
      </c>
      <c r="H536" s="4">
        <v>27.492000000000001</v>
      </c>
      <c r="I536" s="4">
        <v>74.135999999999996</v>
      </c>
      <c r="J536" s="4">
        <v>178.15</v>
      </c>
      <c r="K536" s="4">
        <v>1.357</v>
      </c>
      <c r="L536" s="4">
        <v>9.3413000000000004</v>
      </c>
      <c r="M536" s="4">
        <v>1.6216999999999999E-2</v>
      </c>
      <c r="N536" s="4" t="s">
        <v>20</v>
      </c>
    </row>
    <row r="537" spans="1:14" ht="17" x14ac:dyDescent="0.35">
      <c r="A537" s="15">
        <v>114.57</v>
      </c>
      <c r="B537" s="16">
        <v>18.925000000000001</v>
      </c>
      <c r="C537" s="4">
        <v>3.0261999999999998</v>
      </c>
      <c r="D537" s="4">
        <v>0.33045000000000002</v>
      </c>
      <c r="E537" s="4">
        <v>1.6819999999999999</v>
      </c>
      <c r="F537" s="4">
        <v>2.3073000000000001</v>
      </c>
      <c r="G537" s="4">
        <v>132.77000000000001</v>
      </c>
      <c r="H537" s="4">
        <v>27.533999999999999</v>
      </c>
      <c r="I537" s="4">
        <v>74.647000000000006</v>
      </c>
      <c r="J537" s="4">
        <v>178.08</v>
      </c>
      <c r="K537" s="4">
        <v>1.3540000000000001</v>
      </c>
      <c r="L537" s="4">
        <v>9.3591999999999995</v>
      </c>
      <c r="M537" s="4">
        <v>1.6282999999999999E-2</v>
      </c>
      <c r="N537" s="4" t="s">
        <v>20</v>
      </c>
    </row>
    <row r="538" spans="1:14" ht="17" x14ac:dyDescent="0.35">
      <c r="A538" s="15">
        <v>114.67</v>
      </c>
      <c r="B538" s="16">
        <v>19.024999999999999</v>
      </c>
      <c r="C538" s="4">
        <v>3.0461999999999998</v>
      </c>
      <c r="D538" s="4">
        <v>0.32827000000000001</v>
      </c>
      <c r="E538" s="4">
        <v>1.68</v>
      </c>
      <c r="F538" s="4">
        <v>2.3045</v>
      </c>
      <c r="G538" s="4">
        <v>132.72</v>
      </c>
      <c r="H538" s="4">
        <v>27.574999999999999</v>
      </c>
      <c r="I538" s="4">
        <v>75.165000000000006</v>
      </c>
      <c r="J538" s="4">
        <v>178</v>
      </c>
      <c r="K538" s="4">
        <v>1.3511</v>
      </c>
      <c r="L538" s="4">
        <v>9.3771000000000004</v>
      </c>
      <c r="M538" s="4">
        <v>1.6348999999999999E-2</v>
      </c>
      <c r="N538" s="4" t="s">
        <v>20</v>
      </c>
    </row>
    <row r="539" spans="1:14" ht="17" x14ac:dyDescent="0.35">
      <c r="A539" s="15">
        <v>114.76</v>
      </c>
      <c r="B539" s="16">
        <v>19.125</v>
      </c>
      <c r="C539" s="4">
        <v>3.0663999999999998</v>
      </c>
      <c r="D539" s="4">
        <v>0.32612000000000002</v>
      </c>
      <c r="E539" s="4">
        <v>1.6779999999999999</v>
      </c>
      <c r="F539" s="4">
        <v>2.3016999999999999</v>
      </c>
      <c r="G539" s="4">
        <v>132.66</v>
      </c>
      <c r="H539" s="4">
        <v>27.617000000000001</v>
      </c>
      <c r="I539" s="4">
        <v>75.69</v>
      </c>
      <c r="J539" s="4">
        <v>177.93</v>
      </c>
      <c r="K539" s="4">
        <v>1.3482000000000001</v>
      </c>
      <c r="L539" s="4">
        <v>9.3950999999999993</v>
      </c>
      <c r="M539" s="4">
        <v>1.6414999999999999E-2</v>
      </c>
      <c r="N539" s="4" t="s">
        <v>20</v>
      </c>
    </row>
    <row r="540" spans="1:14" ht="17" x14ac:dyDescent="0.35">
      <c r="A540" s="15">
        <v>114.86</v>
      </c>
      <c r="B540" s="16">
        <v>19.225000000000001</v>
      </c>
      <c r="C540" s="4">
        <v>3.0865999999999998</v>
      </c>
      <c r="D540" s="4">
        <v>0.32397999999999999</v>
      </c>
      <c r="E540" s="4">
        <v>1.6759999999999999</v>
      </c>
      <c r="F540" s="4">
        <v>2.2988</v>
      </c>
      <c r="G540" s="4">
        <v>132.61000000000001</v>
      </c>
      <c r="H540" s="4">
        <v>27.658999999999999</v>
      </c>
      <c r="I540" s="4">
        <v>76.222999999999999</v>
      </c>
      <c r="J540" s="4">
        <v>177.86</v>
      </c>
      <c r="K540" s="4">
        <v>1.3452</v>
      </c>
      <c r="L540" s="4">
        <v>9.4131999999999998</v>
      </c>
      <c r="M540" s="4">
        <v>1.6482E-2</v>
      </c>
      <c r="N540" s="4" t="s">
        <v>20</v>
      </c>
    </row>
    <row r="541" spans="1:14" ht="17" x14ac:dyDescent="0.35">
      <c r="A541" s="15">
        <v>114.96</v>
      </c>
      <c r="B541" s="16">
        <v>19.324999999999999</v>
      </c>
      <c r="C541" s="4">
        <v>3.1069</v>
      </c>
      <c r="D541" s="4">
        <v>0.32185999999999998</v>
      </c>
      <c r="E541" s="4">
        <v>1.6738999999999999</v>
      </c>
      <c r="F541" s="4">
        <v>2.2959000000000001</v>
      </c>
      <c r="G541" s="4">
        <v>132.56</v>
      </c>
      <c r="H541" s="4">
        <v>27.702000000000002</v>
      </c>
      <c r="I541" s="4">
        <v>76.763000000000005</v>
      </c>
      <c r="J541" s="4">
        <v>177.78</v>
      </c>
      <c r="K541" s="4">
        <v>1.3423</v>
      </c>
      <c r="L541" s="4">
        <v>9.4313000000000002</v>
      </c>
      <c r="M541" s="4">
        <v>1.6549000000000001E-2</v>
      </c>
      <c r="N541" s="4" t="s">
        <v>20</v>
      </c>
    </row>
    <row r="542" spans="1:14" ht="17" x14ac:dyDescent="0.35">
      <c r="A542" s="15">
        <v>115.05</v>
      </c>
      <c r="B542" s="16">
        <v>19.425000000000001</v>
      </c>
      <c r="C542" s="4">
        <v>3.1273</v>
      </c>
      <c r="D542" s="4">
        <v>0.31975999999999999</v>
      </c>
      <c r="E542" s="4">
        <v>1.6718999999999999</v>
      </c>
      <c r="F542" s="4">
        <v>2.2930000000000001</v>
      </c>
      <c r="G542" s="4">
        <v>132.5</v>
      </c>
      <c r="H542" s="4">
        <v>27.745000000000001</v>
      </c>
      <c r="I542" s="4">
        <v>77.311000000000007</v>
      </c>
      <c r="J542" s="4">
        <v>177.71</v>
      </c>
      <c r="K542" s="4">
        <v>1.3392999999999999</v>
      </c>
      <c r="L542" s="4">
        <v>9.4494000000000007</v>
      </c>
      <c r="M542" s="4">
        <v>1.6617E-2</v>
      </c>
      <c r="N542" s="4" t="s">
        <v>20</v>
      </c>
    </row>
    <row r="543" spans="1:14" ht="17" x14ac:dyDescent="0.35">
      <c r="A543" s="15">
        <v>115.15</v>
      </c>
      <c r="B543" s="16">
        <v>19.524999999999999</v>
      </c>
      <c r="C543" s="4">
        <v>3.1478000000000002</v>
      </c>
      <c r="D543" s="4">
        <v>0.31768000000000002</v>
      </c>
      <c r="E543" s="4">
        <v>1.6698</v>
      </c>
      <c r="F543" s="4">
        <v>2.2900999999999998</v>
      </c>
      <c r="G543" s="4">
        <v>132.44999999999999</v>
      </c>
      <c r="H543" s="4">
        <v>27.788</v>
      </c>
      <c r="I543" s="4">
        <v>77.867000000000004</v>
      </c>
      <c r="J543" s="4">
        <v>177.63</v>
      </c>
      <c r="K543" s="4">
        <v>1.3364</v>
      </c>
      <c r="L543" s="4">
        <v>9.4675999999999991</v>
      </c>
      <c r="M543" s="4">
        <v>1.6685999999999999E-2</v>
      </c>
      <c r="N543" s="4" t="s">
        <v>20</v>
      </c>
    </row>
    <row r="544" spans="1:14" ht="17" x14ac:dyDescent="0.35">
      <c r="A544" s="15">
        <v>115.24</v>
      </c>
      <c r="B544" s="16">
        <v>19.625</v>
      </c>
      <c r="C544" s="4">
        <v>3.1684000000000001</v>
      </c>
      <c r="D544" s="4">
        <v>0.31562000000000001</v>
      </c>
      <c r="E544" s="4">
        <v>1.6677</v>
      </c>
      <c r="F544" s="4">
        <v>2.2871000000000001</v>
      </c>
      <c r="G544" s="4">
        <v>132.4</v>
      </c>
      <c r="H544" s="4">
        <v>27.831</v>
      </c>
      <c r="I544" s="4">
        <v>78.430999999999997</v>
      </c>
      <c r="J544" s="4">
        <v>177.56</v>
      </c>
      <c r="K544" s="4">
        <v>1.3333999999999999</v>
      </c>
      <c r="L544" s="4">
        <v>9.4859000000000009</v>
      </c>
      <c r="M544" s="4">
        <v>1.6754999999999999E-2</v>
      </c>
      <c r="N544" s="4" t="s">
        <v>20</v>
      </c>
    </row>
    <row r="545" spans="1:14" ht="17" x14ac:dyDescent="0.35">
      <c r="A545" s="15">
        <v>115.34</v>
      </c>
      <c r="B545" s="16">
        <v>19.725000000000001</v>
      </c>
      <c r="C545" s="4">
        <v>3.1890000000000001</v>
      </c>
      <c r="D545" s="4">
        <v>0.31357000000000002</v>
      </c>
      <c r="E545" s="4">
        <v>1.6655</v>
      </c>
      <c r="F545" s="4">
        <v>2.2841</v>
      </c>
      <c r="G545" s="4">
        <v>132.34</v>
      </c>
      <c r="H545" s="4">
        <v>27.875</v>
      </c>
      <c r="I545" s="4">
        <v>79.004000000000005</v>
      </c>
      <c r="J545" s="4">
        <v>177.48</v>
      </c>
      <c r="K545" s="4">
        <v>1.3305</v>
      </c>
      <c r="L545" s="4">
        <v>9.5042000000000009</v>
      </c>
      <c r="M545" s="4">
        <v>1.6823999999999999E-2</v>
      </c>
      <c r="N545" s="4" t="s">
        <v>20</v>
      </c>
    </row>
    <row r="546" spans="1:14" ht="17" x14ac:dyDescent="0.35">
      <c r="A546" s="15">
        <v>115.43</v>
      </c>
      <c r="B546" s="16">
        <v>19.824999999999999</v>
      </c>
      <c r="C546" s="4">
        <v>3.2098</v>
      </c>
      <c r="D546" s="4">
        <v>0.31154999999999999</v>
      </c>
      <c r="E546" s="4">
        <v>1.6634</v>
      </c>
      <c r="F546" s="4">
        <v>2.2810999999999999</v>
      </c>
      <c r="G546" s="4">
        <v>132.29</v>
      </c>
      <c r="H546" s="4">
        <v>27.919</v>
      </c>
      <c r="I546" s="4">
        <v>79.584999999999994</v>
      </c>
      <c r="J546" s="4">
        <v>177.4</v>
      </c>
      <c r="K546" s="4">
        <v>1.3274999999999999</v>
      </c>
      <c r="L546" s="4">
        <v>9.5226000000000006</v>
      </c>
      <c r="M546" s="4">
        <v>1.6893999999999999E-2</v>
      </c>
      <c r="N546" s="4" t="s">
        <v>20</v>
      </c>
    </row>
    <row r="547" spans="1:14" ht="17" x14ac:dyDescent="0.35">
      <c r="A547" s="15">
        <v>115.53</v>
      </c>
      <c r="B547" s="16">
        <v>19.925000000000001</v>
      </c>
      <c r="C547" s="4">
        <v>3.2305999999999999</v>
      </c>
      <c r="D547" s="4">
        <v>0.30953999999999998</v>
      </c>
      <c r="E547" s="4">
        <v>1.6612</v>
      </c>
      <c r="F547" s="4">
        <v>2.278</v>
      </c>
      <c r="G547" s="4">
        <v>132.24</v>
      </c>
      <c r="H547" s="4">
        <v>27.963999999999999</v>
      </c>
      <c r="I547" s="4">
        <v>80.174000000000007</v>
      </c>
      <c r="J547" s="4">
        <v>177.33</v>
      </c>
      <c r="K547" s="4">
        <v>1.3246</v>
      </c>
      <c r="L547" s="4">
        <v>9.5411000000000001</v>
      </c>
      <c r="M547" s="4">
        <v>1.6965000000000001E-2</v>
      </c>
      <c r="N547" s="4" t="s">
        <v>20</v>
      </c>
    </row>
    <row r="548" spans="1:14" ht="17" x14ac:dyDescent="0.35">
      <c r="A548" s="15">
        <v>115.62</v>
      </c>
      <c r="B548" s="16">
        <v>20.024999999999999</v>
      </c>
      <c r="C548" s="4">
        <v>3.2515000000000001</v>
      </c>
      <c r="D548" s="4">
        <v>0.30754999999999999</v>
      </c>
      <c r="E548" s="4">
        <v>1.6591</v>
      </c>
      <c r="F548" s="4">
        <v>2.2749000000000001</v>
      </c>
      <c r="G548" s="4">
        <v>132.18</v>
      </c>
      <c r="H548" s="4">
        <v>28.009</v>
      </c>
      <c r="I548" s="4">
        <v>80.772000000000006</v>
      </c>
      <c r="J548" s="4">
        <v>177.25</v>
      </c>
      <c r="K548" s="4">
        <v>1.3216000000000001</v>
      </c>
      <c r="L548" s="4">
        <v>9.5595999999999997</v>
      </c>
      <c r="M548" s="4">
        <v>1.7035999999999999E-2</v>
      </c>
      <c r="N548" s="4" t="s">
        <v>20</v>
      </c>
    </row>
    <row r="549" spans="1:14" ht="17" x14ac:dyDescent="0.35">
      <c r="A549" s="15">
        <v>115.72</v>
      </c>
      <c r="B549" s="16">
        <v>20.125</v>
      </c>
      <c r="C549" s="4">
        <v>3.2725</v>
      </c>
      <c r="D549" s="4">
        <v>0.30557000000000001</v>
      </c>
      <c r="E549" s="4">
        <v>1.6568000000000001</v>
      </c>
      <c r="F549" s="4">
        <v>2.2717999999999998</v>
      </c>
      <c r="G549" s="4">
        <v>132.13</v>
      </c>
      <c r="H549" s="4">
        <v>28.053999999999998</v>
      </c>
      <c r="I549" s="4">
        <v>81.379000000000005</v>
      </c>
      <c r="J549" s="4">
        <v>177.17</v>
      </c>
      <c r="K549" s="4">
        <v>1.3187</v>
      </c>
      <c r="L549" s="4">
        <v>9.5782000000000007</v>
      </c>
      <c r="M549" s="4">
        <v>1.7108000000000002E-2</v>
      </c>
      <c r="N549" s="4" t="s">
        <v>20</v>
      </c>
    </row>
    <row r="550" spans="1:14" ht="17" x14ac:dyDescent="0.35">
      <c r="A550" s="15">
        <v>115.81</v>
      </c>
      <c r="B550" s="16">
        <v>20.225000000000001</v>
      </c>
      <c r="C550" s="4">
        <v>3.2936000000000001</v>
      </c>
      <c r="D550" s="4">
        <v>0.30362</v>
      </c>
      <c r="E550" s="4">
        <v>1.6546000000000001</v>
      </c>
      <c r="F550" s="4">
        <v>2.2686999999999999</v>
      </c>
      <c r="G550" s="4">
        <v>132.08000000000001</v>
      </c>
      <c r="H550" s="4">
        <v>28.099</v>
      </c>
      <c r="I550" s="4">
        <v>81.995999999999995</v>
      </c>
      <c r="J550" s="4">
        <v>177.09</v>
      </c>
      <c r="K550" s="4">
        <v>1.3157000000000001</v>
      </c>
      <c r="L550" s="4">
        <v>9.5968</v>
      </c>
      <c r="M550" s="4">
        <v>1.7180000000000001E-2</v>
      </c>
      <c r="N550" s="4" t="s">
        <v>20</v>
      </c>
    </row>
    <row r="551" spans="1:14" ht="17" x14ac:dyDescent="0.35">
      <c r="A551" s="15">
        <v>115.9</v>
      </c>
      <c r="B551" s="16">
        <v>20.324999999999999</v>
      </c>
      <c r="C551" s="4">
        <v>3.3148</v>
      </c>
      <c r="D551" s="4">
        <v>0.30166999999999999</v>
      </c>
      <c r="E551" s="4">
        <v>1.6524000000000001</v>
      </c>
      <c r="F551" s="4">
        <v>2.2654999999999998</v>
      </c>
      <c r="G551" s="4">
        <v>132.02000000000001</v>
      </c>
      <c r="H551" s="4">
        <v>28.145</v>
      </c>
      <c r="I551" s="4">
        <v>82.622</v>
      </c>
      <c r="J551" s="4">
        <v>177.01</v>
      </c>
      <c r="K551" s="4">
        <v>1.3128</v>
      </c>
      <c r="L551" s="4">
        <v>9.6156000000000006</v>
      </c>
      <c r="M551" s="4">
        <v>1.7253000000000001E-2</v>
      </c>
      <c r="N551" s="4" t="s">
        <v>20</v>
      </c>
    </row>
    <row r="552" spans="1:14" ht="17" x14ac:dyDescent="0.35">
      <c r="A552" s="15">
        <v>115.99</v>
      </c>
      <c r="B552" s="16">
        <v>20.425000000000001</v>
      </c>
      <c r="C552" s="4">
        <v>3.3361000000000001</v>
      </c>
      <c r="D552" s="4">
        <v>0.29975000000000002</v>
      </c>
      <c r="E552" s="4">
        <v>1.6500999999999999</v>
      </c>
      <c r="F552" s="4">
        <v>2.2623000000000002</v>
      </c>
      <c r="G552" s="4">
        <v>131.97</v>
      </c>
      <c r="H552" s="4">
        <v>28.190999999999999</v>
      </c>
      <c r="I552" s="4">
        <v>83.257000000000005</v>
      </c>
      <c r="J552" s="4">
        <v>176.93</v>
      </c>
      <c r="K552" s="4">
        <v>1.3098000000000001</v>
      </c>
      <c r="L552" s="4">
        <v>9.6342999999999996</v>
      </c>
      <c r="M552" s="4">
        <v>1.7326999999999999E-2</v>
      </c>
      <c r="N552" s="4" t="s">
        <v>20</v>
      </c>
    </row>
    <row r="553" spans="1:14" ht="17" x14ac:dyDescent="0.35">
      <c r="A553" s="15">
        <v>116.09</v>
      </c>
      <c r="B553" s="16">
        <v>20.524999999999999</v>
      </c>
      <c r="C553" s="4">
        <v>3.3574999999999999</v>
      </c>
      <c r="D553" s="4">
        <v>0.29783999999999999</v>
      </c>
      <c r="E553" s="4">
        <v>1.6477999999999999</v>
      </c>
      <c r="F553" s="4">
        <v>2.2591000000000001</v>
      </c>
      <c r="G553" s="4">
        <v>131.91999999999999</v>
      </c>
      <c r="H553" s="4">
        <v>28.236999999999998</v>
      </c>
      <c r="I553" s="4">
        <v>83.902000000000001</v>
      </c>
      <c r="J553" s="4">
        <v>176.85</v>
      </c>
      <c r="K553" s="4">
        <v>1.3068</v>
      </c>
      <c r="L553" s="4">
        <v>9.6532</v>
      </c>
      <c r="M553" s="4">
        <v>1.7401E-2</v>
      </c>
      <c r="N553" s="4" t="s">
        <v>20</v>
      </c>
    </row>
    <row r="554" spans="1:14" ht="17" x14ac:dyDescent="0.35">
      <c r="A554" s="15">
        <v>116.18</v>
      </c>
      <c r="B554" s="16">
        <v>20.625</v>
      </c>
      <c r="C554" s="4">
        <v>3.379</v>
      </c>
      <c r="D554" s="4">
        <v>0.29594999999999999</v>
      </c>
      <c r="E554" s="4">
        <v>1.6455</v>
      </c>
      <c r="F554" s="4">
        <v>2.2559</v>
      </c>
      <c r="G554" s="4">
        <v>131.86000000000001</v>
      </c>
      <c r="H554" s="4">
        <v>28.283999999999999</v>
      </c>
      <c r="I554" s="4">
        <v>84.557000000000002</v>
      </c>
      <c r="J554" s="4">
        <v>176.77</v>
      </c>
      <c r="K554" s="4">
        <v>1.3038000000000001</v>
      </c>
      <c r="L554" s="4">
        <v>9.6721000000000004</v>
      </c>
      <c r="M554" s="4">
        <v>1.7475999999999998E-2</v>
      </c>
      <c r="N554" s="4" t="s">
        <v>20</v>
      </c>
    </row>
    <row r="555" spans="1:14" ht="17" x14ac:dyDescent="0.35">
      <c r="A555" s="15">
        <v>116.27</v>
      </c>
      <c r="B555" s="16">
        <v>20.725000000000001</v>
      </c>
      <c r="C555" s="4">
        <v>3.4005999999999998</v>
      </c>
      <c r="D555" s="4">
        <v>0.29407</v>
      </c>
      <c r="E555" s="4">
        <v>1.6431</v>
      </c>
      <c r="F555" s="4">
        <v>2.2526000000000002</v>
      </c>
      <c r="G555" s="4">
        <v>131.81</v>
      </c>
      <c r="H555" s="4">
        <v>28.331</v>
      </c>
      <c r="I555" s="4">
        <v>85.222999999999999</v>
      </c>
      <c r="J555" s="4">
        <v>176.69</v>
      </c>
      <c r="K555" s="4">
        <v>1.3008999999999999</v>
      </c>
      <c r="L555" s="4">
        <v>9.6911000000000005</v>
      </c>
      <c r="M555" s="4">
        <v>1.7551000000000001E-2</v>
      </c>
      <c r="N555" s="4" t="s">
        <v>20</v>
      </c>
    </row>
    <row r="556" spans="1:14" ht="17" x14ac:dyDescent="0.35">
      <c r="A556" s="15">
        <v>116.36</v>
      </c>
      <c r="B556" s="16">
        <v>20.824999999999999</v>
      </c>
      <c r="C556" s="4">
        <v>3.4222000000000001</v>
      </c>
      <c r="D556" s="4">
        <v>0.29221000000000003</v>
      </c>
      <c r="E556" s="4">
        <v>1.6408</v>
      </c>
      <c r="F556" s="4">
        <v>2.2492999999999999</v>
      </c>
      <c r="G556" s="4">
        <v>131.76</v>
      </c>
      <c r="H556" s="4">
        <v>28.378</v>
      </c>
      <c r="I556" s="4">
        <v>85.899000000000001</v>
      </c>
      <c r="J556" s="4">
        <v>176.61</v>
      </c>
      <c r="K556" s="4">
        <v>1.2979000000000001</v>
      </c>
      <c r="L556" s="4">
        <v>9.7102000000000004</v>
      </c>
      <c r="M556" s="4">
        <v>1.7628000000000001E-2</v>
      </c>
      <c r="N556" s="4" t="s">
        <v>20</v>
      </c>
    </row>
    <row r="557" spans="1:14" ht="17" x14ac:dyDescent="0.35">
      <c r="A557" s="15">
        <v>116.45</v>
      </c>
      <c r="B557" s="16">
        <v>20.925000000000001</v>
      </c>
      <c r="C557" s="4">
        <v>3.444</v>
      </c>
      <c r="D557" s="4">
        <v>0.29036000000000001</v>
      </c>
      <c r="E557" s="4">
        <v>1.6384000000000001</v>
      </c>
      <c r="F557" s="4">
        <v>2.246</v>
      </c>
      <c r="G557" s="4">
        <v>131.69999999999999</v>
      </c>
      <c r="H557" s="4">
        <v>28.425999999999998</v>
      </c>
      <c r="I557" s="4">
        <v>86.584999999999994</v>
      </c>
      <c r="J557" s="4">
        <v>176.52</v>
      </c>
      <c r="K557" s="4">
        <v>1.2948999999999999</v>
      </c>
      <c r="L557" s="4">
        <v>9.7293000000000003</v>
      </c>
      <c r="M557" s="4">
        <v>1.7704000000000001E-2</v>
      </c>
      <c r="N557" s="4" t="s">
        <v>20</v>
      </c>
    </row>
    <row r="558" spans="1:14" ht="17" x14ac:dyDescent="0.35">
      <c r="A558" s="15">
        <v>116.54</v>
      </c>
      <c r="B558" s="16">
        <v>21.024999999999999</v>
      </c>
      <c r="C558" s="4">
        <v>3.4659</v>
      </c>
      <c r="D558" s="4">
        <v>0.28853000000000001</v>
      </c>
      <c r="E558" s="4">
        <v>1.6359999999999999</v>
      </c>
      <c r="F558" s="4">
        <v>2.2425999999999999</v>
      </c>
      <c r="G558" s="4">
        <v>131.65</v>
      </c>
      <c r="H558" s="4">
        <v>28.474</v>
      </c>
      <c r="I558" s="4">
        <v>87.283000000000001</v>
      </c>
      <c r="J558" s="4">
        <v>176.44</v>
      </c>
      <c r="K558" s="4">
        <v>1.2919</v>
      </c>
      <c r="L558" s="4">
        <v>9.7485999999999997</v>
      </c>
      <c r="M558" s="4">
        <v>1.7781999999999999E-2</v>
      </c>
      <c r="N558" s="4" t="s">
        <v>20</v>
      </c>
    </row>
    <row r="559" spans="1:14" ht="17" x14ac:dyDescent="0.35">
      <c r="A559" s="15">
        <v>116.63</v>
      </c>
      <c r="B559" s="16">
        <v>21.125</v>
      </c>
      <c r="C559" s="4">
        <v>3.4878999999999998</v>
      </c>
      <c r="D559" s="4">
        <v>0.28671000000000002</v>
      </c>
      <c r="E559" s="4">
        <v>1.6335999999999999</v>
      </c>
      <c r="F559" s="4">
        <v>2.2391999999999999</v>
      </c>
      <c r="G559" s="4">
        <v>131.6</v>
      </c>
      <c r="H559" s="4">
        <v>28.521999999999998</v>
      </c>
      <c r="I559" s="4">
        <v>87.992000000000004</v>
      </c>
      <c r="J559" s="4">
        <v>176.36</v>
      </c>
      <c r="K559" s="4">
        <v>1.2888999999999999</v>
      </c>
      <c r="L559" s="4">
        <v>9.7678999999999991</v>
      </c>
      <c r="M559" s="4">
        <v>1.7860000000000001E-2</v>
      </c>
      <c r="N559" s="4" t="s">
        <v>20</v>
      </c>
    </row>
    <row r="560" spans="1:14" ht="17" x14ac:dyDescent="0.35">
      <c r="A560" s="15">
        <v>116.72</v>
      </c>
      <c r="B560" s="16">
        <v>21.225000000000001</v>
      </c>
      <c r="C560" s="4">
        <v>3.51</v>
      </c>
      <c r="D560" s="4">
        <v>0.28489999999999999</v>
      </c>
      <c r="E560" s="4">
        <v>1.6311</v>
      </c>
      <c r="F560" s="4">
        <v>2.2357999999999998</v>
      </c>
      <c r="G560" s="4">
        <v>131.54</v>
      </c>
      <c r="H560" s="4">
        <v>28.571000000000002</v>
      </c>
      <c r="I560" s="4">
        <v>88.712000000000003</v>
      </c>
      <c r="J560" s="4">
        <v>176.27</v>
      </c>
      <c r="K560" s="4">
        <v>1.2859</v>
      </c>
      <c r="L560" s="4">
        <v>9.7873000000000001</v>
      </c>
      <c r="M560" s="4">
        <v>1.7939E-2</v>
      </c>
      <c r="N560" s="4" t="s">
        <v>20</v>
      </c>
    </row>
    <row r="561" spans="1:14" ht="17" x14ac:dyDescent="0.35">
      <c r="A561" s="15">
        <v>116.81</v>
      </c>
      <c r="B561" s="16">
        <v>21.324999999999999</v>
      </c>
      <c r="C561" s="4">
        <v>3.5320999999999998</v>
      </c>
      <c r="D561" s="4">
        <v>0.28310999999999997</v>
      </c>
      <c r="E561" s="4">
        <v>1.6286</v>
      </c>
      <c r="F561" s="4">
        <v>2.2324000000000002</v>
      </c>
      <c r="G561" s="4">
        <v>131.49</v>
      </c>
      <c r="H561" s="4">
        <v>28.62</v>
      </c>
      <c r="I561" s="4">
        <v>89.444000000000003</v>
      </c>
      <c r="J561" s="4">
        <v>176.19</v>
      </c>
      <c r="K561" s="4">
        <v>1.2828999999999999</v>
      </c>
      <c r="L561" s="4">
        <v>9.8066999999999993</v>
      </c>
      <c r="M561" s="4">
        <v>1.8017999999999999E-2</v>
      </c>
      <c r="N561" s="4" t="s">
        <v>20</v>
      </c>
    </row>
    <row r="562" spans="1:14" ht="17" x14ac:dyDescent="0.35">
      <c r="A562" s="15">
        <v>116.9</v>
      </c>
      <c r="B562" s="16">
        <v>21.425000000000001</v>
      </c>
      <c r="C562" s="4">
        <v>3.5543999999999998</v>
      </c>
      <c r="D562" s="4">
        <v>0.28133999999999998</v>
      </c>
      <c r="E562" s="4">
        <v>1.6261000000000001</v>
      </c>
      <c r="F562" s="4">
        <v>2.2288999999999999</v>
      </c>
      <c r="G562" s="4">
        <v>131.43</v>
      </c>
      <c r="H562" s="4">
        <v>28.67</v>
      </c>
      <c r="I562" s="4">
        <v>90.188000000000002</v>
      </c>
      <c r="J562" s="4">
        <v>176.1</v>
      </c>
      <c r="K562" s="4">
        <v>1.2799</v>
      </c>
      <c r="L562" s="4">
        <v>9.8262999999999998</v>
      </c>
      <c r="M562" s="4">
        <v>1.8099000000000001E-2</v>
      </c>
      <c r="N562" s="4" t="s">
        <v>20</v>
      </c>
    </row>
    <row r="563" spans="1:14" ht="17" x14ac:dyDescent="0.35">
      <c r="A563" s="15">
        <v>116.99</v>
      </c>
      <c r="B563" s="16">
        <v>21.524999999999999</v>
      </c>
      <c r="C563" s="4">
        <v>3.5768</v>
      </c>
      <c r="D563" s="4">
        <v>0.27958</v>
      </c>
      <c r="E563" s="4">
        <v>1.6235999999999999</v>
      </c>
      <c r="F563" s="4">
        <v>2.2254</v>
      </c>
      <c r="G563" s="4">
        <v>131.38</v>
      </c>
      <c r="H563" s="4">
        <v>28.719000000000001</v>
      </c>
      <c r="I563" s="4">
        <v>90.944999999999993</v>
      </c>
      <c r="J563" s="4">
        <v>176.02</v>
      </c>
      <c r="K563" s="4">
        <v>1.2768999999999999</v>
      </c>
      <c r="L563" s="4">
        <v>9.8459000000000003</v>
      </c>
      <c r="M563" s="4">
        <v>1.8180000000000002E-2</v>
      </c>
      <c r="N563" s="4" t="s">
        <v>20</v>
      </c>
    </row>
    <row r="564" spans="1:14" ht="17" x14ac:dyDescent="0.35">
      <c r="A564" s="15">
        <v>117.08</v>
      </c>
      <c r="B564" s="16">
        <v>21.625</v>
      </c>
      <c r="C564" s="4">
        <v>3.5994000000000002</v>
      </c>
      <c r="D564" s="4">
        <v>0.27783000000000002</v>
      </c>
      <c r="E564" s="4">
        <v>1.6211</v>
      </c>
      <c r="F564" s="4">
        <v>2.2219000000000002</v>
      </c>
      <c r="G564" s="4">
        <v>131.33000000000001</v>
      </c>
      <c r="H564" s="4">
        <v>28.77</v>
      </c>
      <c r="I564" s="4">
        <v>91.713999999999999</v>
      </c>
      <c r="J564" s="4">
        <v>175.93</v>
      </c>
      <c r="K564" s="4">
        <v>1.2739</v>
      </c>
      <c r="L564" s="4">
        <v>9.8657000000000004</v>
      </c>
      <c r="M564" s="4">
        <v>1.8260999999999999E-2</v>
      </c>
      <c r="N564" s="4" t="s">
        <v>20</v>
      </c>
    </row>
    <row r="565" spans="1:14" ht="17" x14ac:dyDescent="0.35">
      <c r="A565" s="15">
        <v>117.17</v>
      </c>
      <c r="B565" s="16">
        <v>21.725000000000001</v>
      </c>
      <c r="C565" s="4">
        <v>3.6219999999999999</v>
      </c>
      <c r="D565" s="4">
        <v>0.27609</v>
      </c>
      <c r="E565" s="4">
        <v>1.6185</v>
      </c>
      <c r="F565" s="4">
        <v>2.2183000000000002</v>
      </c>
      <c r="G565" s="4">
        <v>131.27000000000001</v>
      </c>
      <c r="H565" s="4">
        <v>28.82</v>
      </c>
      <c r="I565" s="4">
        <v>92.495999999999995</v>
      </c>
      <c r="J565" s="4">
        <v>175.85</v>
      </c>
      <c r="K565" s="4">
        <v>1.2708999999999999</v>
      </c>
      <c r="L565" s="4">
        <v>9.8855000000000004</v>
      </c>
      <c r="M565" s="4">
        <v>1.8343999999999999E-2</v>
      </c>
      <c r="N565" s="4" t="s">
        <v>20</v>
      </c>
    </row>
    <row r="566" spans="1:14" ht="17" x14ac:dyDescent="0.35">
      <c r="A566" s="15">
        <v>117.26</v>
      </c>
      <c r="B566" s="16">
        <v>21.824999999999999</v>
      </c>
      <c r="C566" s="4">
        <v>3.6446999999999998</v>
      </c>
      <c r="D566" s="4">
        <v>0.27437</v>
      </c>
      <c r="E566" s="4">
        <v>1.6158999999999999</v>
      </c>
      <c r="F566" s="4">
        <v>2.2147000000000001</v>
      </c>
      <c r="G566" s="4">
        <v>131.22</v>
      </c>
      <c r="H566" s="4">
        <v>28.870999999999999</v>
      </c>
      <c r="I566" s="4">
        <v>93.292000000000002</v>
      </c>
      <c r="J566" s="4">
        <v>175.76</v>
      </c>
      <c r="K566" s="4">
        <v>1.2678</v>
      </c>
      <c r="L566" s="4">
        <v>9.9054000000000002</v>
      </c>
      <c r="M566" s="4">
        <v>1.8426999999999999E-2</v>
      </c>
      <c r="N566" s="4" t="s">
        <v>20</v>
      </c>
    </row>
    <row r="567" spans="1:14" ht="17" x14ac:dyDescent="0.35">
      <c r="A567" s="15">
        <v>117.35</v>
      </c>
      <c r="B567" s="16">
        <v>21.925000000000001</v>
      </c>
      <c r="C567" s="4">
        <v>3.6676000000000002</v>
      </c>
      <c r="D567" s="4">
        <v>0.27266000000000001</v>
      </c>
      <c r="E567" s="4">
        <v>1.6133</v>
      </c>
      <c r="F567" s="4">
        <v>2.2111000000000001</v>
      </c>
      <c r="G567" s="4">
        <v>131.16</v>
      </c>
      <c r="H567" s="4">
        <v>28.922000000000001</v>
      </c>
      <c r="I567" s="4">
        <v>94.100999999999999</v>
      </c>
      <c r="J567" s="4">
        <v>175.67</v>
      </c>
      <c r="K567" s="4">
        <v>1.2647999999999999</v>
      </c>
      <c r="L567" s="4">
        <v>9.9253999999999998</v>
      </c>
      <c r="M567" s="4">
        <v>1.8511E-2</v>
      </c>
      <c r="N567" s="4" t="s">
        <v>20</v>
      </c>
    </row>
    <row r="568" spans="1:14" ht="17" x14ac:dyDescent="0.35">
      <c r="A568" s="15">
        <v>117.43</v>
      </c>
      <c r="B568" s="16">
        <v>22.024999999999999</v>
      </c>
      <c r="C568" s="4">
        <v>3.6905000000000001</v>
      </c>
      <c r="D568" s="4">
        <v>0.27095999999999998</v>
      </c>
      <c r="E568" s="4">
        <v>1.6106</v>
      </c>
      <c r="F568" s="4">
        <v>2.2073999999999998</v>
      </c>
      <c r="G568" s="4">
        <v>131.11000000000001</v>
      </c>
      <c r="H568" s="4">
        <v>28.974</v>
      </c>
      <c r="I568" s="4">
        <v>94.924000000000007</v>
      </c>
      <c r="J568" s="4">
        <v>175.59</v>
      </c>
      <c r="K568" s="4">
        <v>1.2618</v>
      </c>
      <c r="L568" s="4">
        <v>9.9454999999999991</v>
      </c>
      <c r="M568" s="4">
        <v>1.8596000000000001E-2</v>
      </c>
      <c r="N568" s="4" t="s">
        <v>20</v>
      </c>
    </row>
    <row r="569" spans="1:14" ht="17" x14ac:dyDescent="0.35">
      <c r="A569" s="15">
        <v>117.52</v>
      </c>
      <c r="B569" s="16">
        <v>22.125</v>
      </c>
      <c r="C569" s="4">
        <v>3.7136</v>
      </c>
      <c r="D569" s="4">
        <v>0.26928000000000002</v>
      </c>
      <c r="E569" s="4">
        <v>1.6080000000000001</v>
      </c>
      <c r="F569" s="4">
        <v>2.2038000000000002</v>
      </c>
      <c r="G569" s="4">
        <v>131.06</v>
      </c>
      <c r="H569" s="4">
        <v>29.026</v>
      </c>
      <c r="I569" s="4">
        <v>95.762</v>
      </c>
      <c r="J569" s="4">
        <v>175.5</v>
      </c>
      <c r="K569" s="4">
        <v>1.2586999999999999</v>
      </c>
      <c r="L569" s="4">
        <v>9.9657</v>
      </c>
      <c r="M569" s="4">
        <v>1.8682000000000001E-2</v>
      </c>
      <c r="N569" s="4" t="s">
        <v>20</v>
      </c>
    </row>
    <row r="570" spans="1:14" ht="17" x14ac:dyDescent="0.35">
      <c r="A570" s="15">
        <v>117.61</v>
      </c>
      <c r="B570" s="16">
        <v>22.225000000000001</v>
      </c>
      <c r="C570" s="4">
        <v>3.7368000000000001</v>
      </c>
      <c r="D570" s="4">
        <v>0.26761000000000001</v>
      </c>
      <c r="E570" s="4">
        <v>1.6052999999999999</v>
      </c>
      <c r="F570" s="4">
        <v>2.2000000000000002</v>
      </c>
      <c r="G570" s="4">
        <v>131</v>
      </c>
      <c r="H570" s="4">
        <v>29.077999999999999</v>
      </c>
      <c r="I570" s="4">
        <v>96.614000000000004</v>
      </c>
      <c r="J570" s="4">
        <v>175.41</v>
      </c>
      <c r="K570" s="4">
        <v>1.2557</v>
      </c>
      <c r="L570" s="4">
        <v>9.9860000000000007</v>
      </c>
      <c r="M570" s="4">
        <v>1.8769000000000001E-2</v>
      </c>
      <c r="N570" s="4" t="s">
        <v>20</v>
      </c>
    </row>
    <row r="571" spans="1:14" ht="17" x14ac:dyDescent="0.35">
      <c r="A571" s="15">
        <v>117.7</v>
      </c>
      <c r="B571" s="16">
        <v>22.324999999999999</v>
      </c>
      <c r="C571" s="4">
        <v>3.7602000000000002</v>
      </c>
      <c r="D571" s="4">
        <v>0.26595000000000002</v>
      </c>
      <c r="E571" s="4">
        <v>1.6026</v>
      </c>
      <c r="F571" s="4">
        <v>2.1962999999999999</v>
      </c>
      <c r="G571" s="4">
        <v>130.94999999999999</v>
      </c>
      <c r="H571" s="4">
        <v>29.131</v>
      </c>
      <c r="I571" s="4">
        <v>97.480999999999995</v>
      </c>
      <c r="J571" s="4">
        <v>175.32</v>
      </c>
      <c r="K571" s="4">
        <v>1.2525999999999999</v>
      </c>
      <c r="L571" s="4">
        <v>10.006</v>
      </c>
      <c r="M571" s="4">
        <v>1.8856000000000001E-2</v>
      </c>
      <c r="N571" s="4" t="s">
        <v>20</v>
      </c>
    </row>
    <row r="572" spans="1:14" ht="17" x14ac:dyDescent="0.35">
      <c r="A572" s="15">
        <v>117.78</v>
      </c>
      <c r="B572" s="16">
        <v>22.425000000000001</v>
      </c>
      <c r="C572" s="4">
        <v>3.7835999999999999</v>
      </c>
      <c r="D572" s="4">
        <v>0.26429999999999998</v>
      </c>
      <c r="E572" s="4">
        <v>1.5998000000000001</v>
      </c>
      <c r="F572" s="4">
        <v>2.1924999999999999</v>
      </c>
      <c r="G572" s="4">
        <v>130.88999999999999</v>
      </c>
      <c r="H572" s="4">
        <v>29.184000000000001</v>
      </c>
      <c r="I572" s="4">
        <v>98.364000000000004</v>
      </c>
      <c r="J572" s="4">
        <v>175.23</v>
      </c>
      <c r="K572" s="4">
        <v>1.2496</v>
      </c>
      <c r="L572" s="4">
        <v>10.026999999999999</v>
      </c>
      <c r="M572" s="4">
        <v>1.8943999999999999E-2</v>
      </c>
      <c r="N572" s="4" t="s">
        <v>20</v>
      </c>
    </row>
    <row r="573" spans="1:14" ht="17" x14ac:dyDescent="0.35">
      <c r="A573" s="15">
        <v>117.87</v>
      </c>
      <c r="B573" s="16">
        <v>22.524999999999999</v>
      </c>
      <c r="C573" s="4">
        <v>3.8071999999999999</v>
      </c>
      <c r="D573" s="4">
        <v>0.26266</v>
      </c>
      <c r="E573" s="4">
        <v>1.597</v>
      </c>
      <c r="F573" s="4">
        <v>2.1886999999999999</v>
      </c>
      <c r="G573" s="4">
        <v>130.84</v>
      </c>
      <c r="H573" s="4">
        <v>29.236999999999998</v>
      </c>
      <c r="I573" s="4">
        <v>99.262</v>
      </c>
      <c r="J573" s="4">
        <v>175.14</v>
      </c>
      <c r="K573" s="4">
        <v>1.2464999999999999</v>
      </c>
      <c r="L573" s="4">
        <v>10.047000000000001</v>
      </c>
      <c r="M573" s="4">
        <v>1.9033999999999999E-2</v>
      </c>
      <c r="N573" s="4" t="s">
        <v>20</v>
      </c>
    </row>
    <row r="574" spans="1:14" ht="17" x14ac:dyDescent="0.35">
      <c r="A574" s="15">
        <v>117.95</v>
      </c>
      <c r="B574" s="16">
        <v>22.625</v>
      </c>
      <c r="C574" s="4">
        <v>3.8309000000000002</v>
      </c>
      <c r="D574" s="4">
        <v>0.26103999999999999</v>
      </c>
      <c r="E574" s="4">
        <v>1.5942000000000001</v>
      </c>
      <c r="F574" s="4">
        <v>2.1848000000000001</v>
      </c>
      <c r="G574" s="4">
        <v>130.78</v>
      </c>
      <c r="H574" s="4">
        <v>29.291</v>
      </c>
      <c r="I574" s="4">
        <v>100.18</v>
      </c>
      <c r="J574" s="4">
        <v>175.05</v>
      </c>
      <c r="K574" s="4">
        <v>1.2434000000000001</v>
      </c>
      <c r="L574" s="4">
        <v>10.068</v>
      </c>
      <c r="M574" s="4">
        <v>1.9123999999999999E-2</v>
      </c>
      <c r="N574" s="4" t="s">
        <v>20</v>
      </c>
    </row>
    <row r="575" spans="1:14" ht="17" x14ac:dyDescent="0.35">
      <c r="A575" s="15">
        <v>118.04</v>
      </c>
      <c r="B575" s="16">
        <v>22.725000000000001</v>
      </c>
      <c r="C575" s="4">
        <v>3.8546999999999998</v>
      </c>
      <c r="D575" s="4">
        <v>0.25941999999999998</v>
      </c>
      <c r="E575" s="4">
        <v>1.5913999999999999</v>
      </c>
      <c r="F575" s="4">
        <v>2.181</v>
      </c>
      <c r="G575" s="4">
        <v>130.72999999999999</v>
      </c>
      <c r="H575" s="4">
        <v>29.346</v>
      </c>
      <c r="I575" s="4">
        <v>101.11</v>
      </c>
      <c r="J575" s="4">
        <v>174.96</v>
      </c>
      <c r="K575" s="4">
        <v>1.2403</v>
      </c>
      <c r="L575" s="4">
        <v>10.089</v>
      </c>
      <c r="M575" s="4">
        <v>1.9214999999999999E-2</v>
      </c>
      <c r="N575" s="4" t="s">
        <v>20</v>
      </c>
    </row>
    <row r="576" spans="1:14" ht="17" x14ac:dyDescent="0.35">
      <c r="A576" s="15">
        <v>118.13</v>
      </c>
      <c r="B576" s="16">
        <v>22.824999999999999</v>
      </c>
      <c r="C576" s="4">
        <v>3.8786999999999998</v>
      </c>
      <c r="D576" s="4">
        <v>0.25781999999999999</v>
      </c>
      <c r="E576" s="4">
        <v>1.5886</v>
      </c>
      <c r="F576" s="4">
        <v>2.1770999999999998</v>
      </c>
      <c r="G576" s="4">
        <v>130.66999999999999</v>
      </c>
      <c r="H576" s="4">
        <v>29.4</v>
      </c>
      <c r="I576" s="4">
        <v>102.06</v>
      </c>
      <c r="J576" s="4">
        <v>174.86</v>
      </c>
      <c r="K576" s="4">
        <v>1.2372000000000001</v>
      </c>
      <c r="L576" s="4">
        <v>10.11</v>
      </c>
      <c r="M576" s="4">
        <v>1.9307000000000001E-2</v>
      </c>
      <c r="N576" s="4" t="s">
        <v>20</v>
      </c>
    </row>
    <row r="577" spans="1:14" ht="17" x14ac:dyDescent="0.35">
      <c r="A577" s="15">
        <v>118.21</v>
      </c>
      <c r="B577" s="16">
        <v>22.925000000000001</v>
      </c>
      <c r="C577" s="4">
        <v>3.9026999999999998</v>
      </c>
      <c r="D577" s="4">
        <v>0.25623000000000001</v>
      </c>
      <c r="E577" s="4">
        <v>1.5857000000000001</v>
      </c>
      <c r="F577" s="4">
        <v>2.1730999999999998</v>
      </c>
      <c r="G577" s="4">
        <v>130.62</v>
      </c>
      <c r="H577" s="4">
        <v>29.454999999999998</v>
      </c>
      <c r="I577" s="4">
        <v>103.03</v>
      </c>
      <c r="J577" s="4">
        <v>174.77</v>
      </c>
      <c r="K577" s="4">
        <v>1.2341</v>
      </c>
      <c r="L577" s="4">
        <v>10.131</v>
      </c>
      <c r="M577" s="4">
        <v>1.9400000000000001E-2</v>
      </c>
      <c r="N577" s="4" t="s">
        <v>20</v>
      </c>
    </row>
    <row r="578" spans="1:14" ht="17" x14ac:dyDescent="0.35">
      <c r="A578" s="15">
        <v>118.3</v>
      </c>
      <c r="B578" s="16">
        <v>23.024999999999999</v>
      </c>
      <c r="C578" s="4">
        <v>3.927</v>
      </c>
      <c r="D578" s="4">
        <v>0.25464999999999999</v>
      </c>
      <c r="E578" s="4">
        <v>1.5828</v>
      </c>
      <c r="F578" s="4">
        <v>2.1690999999999998</v>
      </c>
      <c r="G578" s="4">
        <v>130.56</v>
      </c>
      <c r="H578" s="4">
        <v>29.510999999999999</v>
      </c>
      <c r="I578" s="4">
        <v>104.01</v>
      </c>
      <c r="J578" s="4">
        <v>174.68</v>
      </c>
      <c r="K578" s="4">
        <v>1.2310000000000001</v>
      </c>
      <c r="L578" s="4">
        <v>10.151999999999999</v>
      </c>
      <c r="M578" s="4">
        <v>1.9494000000000001E-2</v>
      </c>
      <c r="N578" s="4" t="s">
        <v>20</v>
      </c>
    </row>
    <row r="579" spans="1:14" ht="17" x14ac:dyDescent="0.35">
      <c r="A579" s="15">
        <v>118.38</v>
      </c>
      <c r="B579" s="16">
        <v>23.125</v>
      </c>
      <c r="C579" s="4">
        <v>3.9512999999999998</v>
      </c>
      <c r="D579" s="4">
        <v>0.25308000000000003</v>
      </c>
      <c r="E579" s="4">
        <v>1.5799000000000001</v>
      </c>
      <c r="F579" s="4">
        <v>2.1650999999999998</v>
      </c>
      <c r="G579" s="4">
        <v>130.51</v>
      </c>
      <c r="H579" s="4">
        <v>29.567</v>
      </c>
      <c r="I579" s="4">
        <v>105.01</v>
      </c>
      <c r="J579" s="4">
        <v>174.59</v>
      </c>
      <c r="K579" s="4">
        <v>1.2279</v>
      </c>
      <c r="L579" s="4">
        <v>10.173</v>
      </c>
      <c r="M579" s="4">
        <v>1.9588999999999999E-2</v>
      </c>
      <c r="N579" s="4" t="s">
        <v>20</v>
      </c>
    </row>
    <row r="580" spans="1:14" ht="17" x14ac:dyDescent="0.35">
      <c r="A580" s="15">
        <v>118.46</v>
      </c>
      <c r="B580" s="16">
        <v>23.225000000000001</v>
      </c>
      <c r="C580" s="4">
        <v>3.9758</v>
      </c>
      <c r="D580" s="4">
        <v>0.25152000000000002</v>
      </c>
      <c r="E580" s="4">
        <v>1.5769</v>
      </c>
      <c r="F580" s="4">
        <v>2.1610999999999998</v>
      </c>
      <c r="G580" s="4">
        <v>130.44999999999999</v>
      </c>
      <c r="H580" s="4">
        <v>29.623000000000001</v>
      </c>
      <c r="I580" s="4">
        <v>106.04</v>
      </c>
      <c r="J580" s="4">
        <v>174.49</v>
      </c>
      <c r="K580" s="4">
        <v>1.2248000000000001</v>
      </c>
      <c r="L580" s="4">
        <v>10.195</v>
      </c>
      <c r="M580" s="4">
        <v>1.9685000000000001E-2</v>
      </c>
      <c r="N580" s="4" t="s">
        <v>20</v>
      </c>
    </row>
    <row r="581" spans="1:14" ht="17" x14ac:dyDescent="0.35">
      <c r="A581" s="15">
        <v>118.55</v>
      </c>
      <c r="B581" s="16">
        <v>23.324999999999999</v>
      </c>
      <c r="C581" s="4">
        <v>4.0004999999999997</v>
      </c>
      <c r="D581" s="4">
        <v>0.24997</v>
      </c>
      <c r="E581" s="4">
        <v>1.5739000000000001</v>
      </c>
      <c r="F581" s="4">
        <v>2.157</v>
      </c>
      <c r="G581" s="4">
        <v>130.4</v>
      </c>
      <c r="H581" s="4">
        <v>29.68</v>
      </c>
      <c r="I581" s="4">
        <v>107.08</v>
      </c>
      <c r="J581" s="4">
        <v>174.4</v>
      </c>
      <c r="K581" s="4">
        <v>1.2217</v>
      </c>
      <c r="L581" s="4">
        <v>10.215999999999999</v>
      </c>
      <c r="M581" s="4">
        <v>1.9782000000000001E-2</v>
      </c>
      <c r="N581" s="4" t="s">
        <v>20</v>
      </c>
    </row>
    <row r="582" spans="1:14" ht="17" x14ac:dyDescent="0.35">
      <c r="A582" s="15">
        <v>118.63</v>
      </c>
      <c r="B582" s="16">
        <v>23.425000000000001</v>
      </c>
      <c r="C582" s="4">
        <v>4.0251999999999999</v>
      </c>
      <c r="D582" s="4">
        <v>0.24843000000000001</v>
      </c>
      <c r="E582" s="4">
        <v>1.5709</v>
      </c>
      <c r="F582" s="4">
        <v>2.1528999999999998</v>
      </c>
      <c r="G582" s="4">
        <v>130.34</v>
      </c>
      <c r="H582" s="4">
        <v>29.736999999999998</v>
      </c>
      <c r="I582" s="4">
        <v>108.14</v>
      </c>
      <c r="J582" s="4">
        <v>174.3</v>
      </c>
      <c r="K582" s="4">
        <v>1.2184999999999999</v>
      </c>
      <c r="L582" s="4">
        <v>10.238</v>
      </c>
      <c r="M582" s="4">
        <v>1.9879999999999998E-2</v>
      </c>
      <c r="N582" s="4" t="s">
        <v>20</v>
      </c>
    </row>
    <row r="583" spans="1:14" ht="17" x14ac:dyDescent="0.35">
      <c r="A583" s="15">
        <v>118.72</v>
      </c>
      <c r="B583" s="16">
        <v>23.524999999999999</v>
      </c>
      <c r="C583" s="4">
        <v>4.0502000000000002</v>
      </c>
      <c r="D583" s="4">
        <v>0.24690000000000001</v>
      </c>
      <c r="E583" s="4">
        <v>1.5679000000000001</v>
      </c>
      <c r="F583" s="4">
        <v>2.1486999999999998</v>
      </c>
      <c r="G583" s="4">
        <v>130.28</v>
      </c>
      <c r="H583" s="4">
        <v>29.795000000000002</v>
      </c>
      <c r="I583" s="4">
        <v>109.23</v>
      </c>
      <c r="J583" s="4">
        <v>174.21</v>
      </c>
      <c r="K583" s="4">
        <v>1.2154</v>
      </c>
      <c r="L583" s="4">
        <v>10.26</v>
      </c>
      <c r="M583" s="4">
        <v>1.9979E-2</v>
      </c>
      <c r="N583" s="4" t="s">
        <v>20</v>
      </c>
    </row>
    <row r="584" spans="1:14" ht="17" x14ac:dyDescent="0.35">
      <c r="A584" s="15">
        <v>118.8</v>
      </c>
      <c r="B584" s="16">
        <v>23.625</v>
      </c>
      <c r="C584" s="4">
        <v>4.0751999999999997</v>
      </c>
      <c r="D584" s="4">
        <v>0.24537999999999999</v>
      </c>
      <c r="E584" s="4">
        <v>1.5648</v>
      </c>
      <c r="F584" s="4">
        <v>2.1444999999999999</v>
      </c>
      <c r="G584" s="4">
        <v>130.22999999999999</v>
      </c>
      <c r="H584" s="4">
        <v>29.853000000000002</v>
      </c>
      <c r="I584" s="4">
        <v>110.33</v>
      </c>
      <c r="J584" s="4">
        <v>174.11</v>
      </c>
      <c r="K584" s="4">
        <v>1.2121999999999999</v>
      </c>
      <c r="L584" s="4">
        <v>10.282</v>
      </c>
      <c r="M584" s="4">
        <v>2.0079E-2</v>
      </c>
      <c r="N584" s="4" t="s">
        <v>20</v>
      </c>
    </row>
    <row r="585" spans="1:14" ht="17" x14ac:dyDescent="0.35">
      <c r="A585" s="15">
        <v>118.88</v>
      </c>
      <c r="B585" s="16">
        <v>23.725000000000001</v>
      </c>
      <c r="C585" s="4">
        <v>4.1003999999999996</v>
      </c>
      <c r="D585" s="4">
        <v>0.24388000000000001</v>
      </c>
      <c r="E585" s="4">
        <v>1.5617000000000001</v>
      </c>
      <c r="F585" s="4">
        <v>2.1402999999999999</v>
      </c>
      <c r="G585" s="4">
        <v>130.16999999999999</v>
      </c>
      <c r="H585" s="4">
        <v>29.911999999999999</v>
      </c>
      <c r="I585" s="4">
        <v>111.46</v>
      </c>
      <c r="J585" s="4">
        <v>174.01</v>
      </c>
      <c r="K585" s="4">
        <v>1.2091000000000001</v>
      </c>
      <c r="L585" s="4">
        <v>10.304</v>
      </c>
      <c r="M585" s="4">
        <v>2.0181000000000001E-2</v>
      </c>
      <c r="N585" s="4" t="s">
        <v>20</v>
      </c>
    </row>
    <row r="586" spans="1:14" ht="17" x14ac:dyDescent="0.35">
      <c r="A586" s="15">
        <v>118.96</v>
      </c>
      <c r="B586" s="16">
        <v>23.824999999999999</v>
      </c>
      <c r="C586" s="4">
        <v>4.1257999999999999</v>
      </c>
      <c r="D586" s="4">
        <v>0.24238000000000001</v>
      </c>
      <c r="E586" s="4">
        <v>1.5585</v>
      </c>
      <c r="F586" s="4">
        <v>2.1360000000000001</v>
      </c>
      <c r="G586" s="4">
        <v>130.12</v>
      </c>
      <c r="H586" s="4">
        <v>29.971</v>
      </c>
      <c r="I586" s="4">
        <v>112.61</v>
      </c>
      <c r="J586" s="4">
        <v>173.91</v>
      </c>
      <c r="K586" s="4">
        <v>1.2059</v>
      </c>
      <c r="L586" s="4">
        <v>10.326000000000001</v>
      </c>
      <c r="M586" s="4">
        <v>2.0284E-2</v>
      </c>
      <c r="N586" s="4" t="s">
        <v>20</v>
      </c>
    </row>
    <row r="587" spans="1:14" ht="17" x14ac:dyDescent="0.35">
      <c r="A587" s="15">
        <v>119.05</v>
      </c>
      <c r="B587" s="16">
        <v>23.925000000000001</v>
      </c>
      <c r="C587" s="4">
        <v>4.1513</v>
      </c>
      <c r="D587" s="4">
        <v>0.24088999999999999</v>
      </c>
      <c r="E587" s="4">
        <v>1.5553999999999999</v>
      </c>
      <c r="F587" s="4">
        <v>2.1316999999999999</v>
      </c>
      <c r="G587" s="4">
        <v>130.06</v>
      </c>
      <c r="H587" s="4">
        <v>30.03</v>
      </c>
      <c r="I587" s="4">
        <v>113.79</v>
      </c>
      <c r="J587" s="4">
        <v>173.82</v>
      </c>
      <c r="K587" s="4">
        <v>1.2027000000000001</v>
      </c>
      <c r="L587" s="4">
        <v>10.348000000000001</v>
      </c>
      <c r="M587" s="4">
        <v>2.0388E-2</v>
      </c>
      <c r="N587" s="4" t="s">
        <v>20</v>
      </c>
    </row>
    <row r="588" spans="1:14" ht="17" x14ac:dyDescent="0.35">
      <c r="A588" s="15">
        <v>119.13</v>
      </c>
      <c r="B588" s="16">
        <v>24.024999999999999</v>
      </c>
      <c r="C588" s="4">
        <v>4.1769999999999996</v>
      </c>
      <c r="D588" s="4">
        <v>0.2394</v>
      </c>
      <c r="E588" s="4">
        <v>1.5522</v>
      </c>
      <c r="F588" s="4">
        <v>2.1274000000000002</v>
      </c>
      <c r="G588" s="4">
        <v>130</v>
      </c>
      <c r="H588" s="4">
        <v>30.09</v>
      </c>
      <c r="I588" s="4">
        <v>114.99</v>
      </c>
      <c r="J588" s="4">
        <v>173.72</v>
      </c>
      <c r="K588" s="4">
        <v>1.1995</v>
      </c>
      <c r="L588" s="4">
        <v>10.371</v>
      </c>
      <c r="M588" s="4">
        <v>2.0493000000000001E-2</v>
      </c>
      <c r="N588" s="4" t="s">
        <v>20</v>
      </c>
    </row>
    <row r="589" spans="1:14" ht="17" x14ac:dyDescent="0.35">
      <c r="A589" s="15">
        <v>119.21</v>
      </c>
      <c r="B589" s="16">
        <v>24.125</v>
      </c>
      <c r="C589" s="4">
        <v>4.2028999999999996</v>
      </c>
      <c r="D589" s="4">
        <v>0.23793</v>
      </c>
      <c r="E589" s="4">
        <v>1.5489999999999999</v>
      </c>
      <c r="F589" s="4">
        <v>2.1230000000000002</v>
      </c>
      <c r="G589" s="4">
        <v>129.94999999999999</v>
      </c>
      <c r="H589" s="4">
        <v>30.151</v>
      </c>
      <c r="I589" s="4">
        <v>116.21</v>
      </c>
      <c r="J589" s="4">
        <v>173.62</v>
      </c>
      <c r="K589" s="4">
        <v>1.1962999999999999</v>
      </c>
      <c r="L589" s="4">
        <v>10.393000000000001</v>
      </c>
      <c r="M589" s="4">
        <v>2.0598999999999999E-2</v>
      </c>
      <c r="N589" s="4" t="s">
        <v>20</v>
      </c>
    </row>
    <row r="590" spans="1:14" ht="17" x14ac:dyDescent="0.35">
      <c r="A590" s="15">
        <v>119.29</v>
      </c>
      <c r="B590" s="16">
        <v>24.225000000000001</v>
      </c>
      <c r="C590" s="4">
        <v>4.2289000000000003</v>
      </c>
      <c r="D590" s="4">
        <v>0.23647000000000001</v>
      </c>
      <c r="E590" s="4">
        <v>1.5457000000000001</v>
      </c>
      <c r="F590" s="4">
        <v>2.1185999999999998</v>
      </c>
      <c r="G590" s="4">
        <v>129.88999999999999</v>
      </c>
      <c r="H590" s="4">
        <v>30.212</v>
      </c>
      <c r="I590" s="4">
        <v>117.46</v>
      </c>
      <c r="J590" s="4">
        <v>173.52</v>
      </c>
      <c r="K590" s="4">
        <v>1.1931</v>
      </c>
      <c r="L590" s="4">
        <v>10.416</v>
      </c>
      <c r="M590" s="4">
        <v>2.0707E-2</v>
      </c>
      <c r="N590" s="4" t="s">
        <v>20</v>
      </c>
    </row>
    <row r="591" spans="1:14" ht="17" x14ac:dyDescent="0.35">
      <c r="A591" s="15">
        <v>119.37</v>
      </c>
      <c r="B591" s="16">
        <v>24.324999999999999</v>
      </c>
      <c r="C591" s="4">
        <v>4.2549999999999999</v>
      </c>
      <c r="D591" s="4">
        <v>0.23502000000000001</v>
      </c>
      <c r="E591" s="4">
        <v>1.5424</v>
      </c>
      <c r="F591" s="4">
        <v>2.1141000000000001</v>
      </c>
      <c r="G591" s="4">
        <v>129.83000000000001</v>
      </c>
      <c r="H591" s="4">
        <v>30.274000000000001</v>
      </c>
      <c r="I591" s="4">
        <v>118.74</v>
      </c>
      <c r="J591" s="4">
        <v>173.42</v>
      </c>
      <c r="K591" s="4">
        <v>1.1899</v>
      </c>
      <c r="L591" s="4">
        <v>10.439</v>
      </c>
      <c r="M591" s="4">
        <v>2.0816000000000001E-2</v>
      </c>
      <c r="N591" s="4" t="s">
        <v>20</v>
      </c>
    </row>
    <row r="592" spans="1:14" ht="17" x14ac:dyDescent="0.35">
      <c r="A592" s="15">
        <v>119.45</v>
      </c>
      <c r="B592" s="16">
        <v>24.425000000000001</v>
      </c>
      <c r="C592" s="4">
        <v>4.2813999999999997</v>
      </c>
      <c r="D592" s="4">
        <v>0.23357</v>
      </c>
      <c r="E592" s="4">
        <v>1.5390999999999999</v>
      </c>
      <c r="F592" s="4">
        <v>2.1095999999999999</v>
      </c>
      <c r="G592" s="4">
        <v>129.77000000000001</v>
      </c>
      <c r="H592" s="4">
        <v>30.335999999999999</v>
      </c>
      <c r="I592" s="4">
        <v>120.04</v>
      </c>
      <c r="J592" s="4">
        <v>173.32</v>
      </c>
      <c r="K592" s="4">
        <v>1.1866000000000001</v>
      </c>
      <c r="L592" s="4">
        <v>10.462</v>
      </c>
      <c r="M592" s="4">
        <v>2.0926E-2</v>
      </c>
      <c r="N592" s="4" t="s">
        <v>20</v>
      </c>
    </row>
    <row r="593" spans="1:14" ht="17" x14ac:dyDescent="0.35">
      <c r="A593" s="15">
        <v>119.54</v>
      </c>
      <c r="B593" s="16">
        <v>24.524999999999999</v>
      </c>
      <c r="C593" s="4">
        <v>4.3079000000000001</v>
      </c>
      <c r="D593" s="4">
        <v>0.23213</v>
      </c>
      <c r="E593" s="4">
        <v>1.5357000000000001</v>
      </c>
      <c r="F593" s="4">
        <v>2.1051000000000002</v>
      </c>
      <c r="G593" s="4">
        <v>129.72</v>
      </c>
      <c r="H593" s="4">
        <v>30.398</v>
      </c>
      <c r="I593" s="4">
        <v>121.37</v>
      </c>
      <c r="J593" s="4">
        <v>173.21</v>
      </c>
      <c r="K593" s="4">
        <v>1.1834</v>
      </c>
      <c r="L593" s="4">
        <v>10.484999999999999</v>
      </c>
      <c r="M593" s="4">
        <v>2.1038000000000001E-2</v>
      </c>
      <c r="N593" s="4" t="s">
        <v>20</v>
      </c>
    </row>
    <row r="594" spans="1:14" ht="17" x14ac:dyDescent="0.35">
      <c r="A594" s="15">
        <v>119.62</v>
      </c>
      <c r="B594" s="16">
        <v>24.625</v>
      </c>
      <c r="C594" s="4">
        <v>4.3346</v>
      </c>
      <c r="D594" s="4">
        <v>0.23069999999999999</v>
      </c>
      <c r="E594" s="4">
        <v>1.5324</v>
      </c>
      <c r="F594" s="4">
        <v>2.1004999999999998</v>
      </c>
      <c r="G594" s="4">
        <v>129.66</v>
      </c>
      <c r="H594" s="4">
        <v>30.462</v>
      </c>
      <c r="I594" s="4">
        <v>122.74</v>
      </c>
      <c r="J594" s="4">
        <v>173.11</v>
      </c>
      <c r="K594" s="4">
        <v>1.1800999999999999</v>
      </c>
      <c r="L594" s="4">
        <v>10.509</v>
      </c>
      <c r="M594" s="4">
        <v>2.1151E-2</v>
      </c>
      <c r="N594" s="4" t="s">
        <v>20</v>
      </c>
    </row>
    <row r="595" spans="1:14" ht="17" x14ac:dyDescent="0.35">
      <c r="A595" s="15">
        <v>119.7</v>
      </c>
      <c r="B595" s="16">
        <v>24.725000000000001</v>
      </c>
      <c r="C595" s="4">
        <v>4.3613999999999997</v>
      </c>
      <c r="D595" s="4">
        <v>0.22928000000000001</v>
      </c>
      <c r="E595" s="4">
        <v>1.5288999999999999</v>
      </c>
      <c r="F595" s="4">
        <v>2.0958000000000001</v>
      </c>
      <c r="G595" s="4">
        <v>129.6</v>
      </c>
      <c r="H595" s="4">
        <v>30.524999999999999</v>
      </c>
      <c r="I595" s="4">
        <v>124.13</v>
      </c>
      <c r="J595" s="4">
        <v>173.01</v>
      </c>
      <c r="K595" s="4">
        <v>1.1769000000000001</v>
      </c>
      <c r="L595" s="4">
        <v>10.532</v>
      </c>
      <c r="M595" s="4">
        <v>2.1264999999999999E-2</v>
      </c>
      <c r="N595" s="4" t="s">
        <v>20</v>
      </c>
    </row>
    <row r="596" spans="1:14" ht="17" x14ac:dyDescent="0.35">
      <c r="A596" s="15">
        <v>119.78</v>
      </c>
      <c r="B596" s="16">
        <v>24.824999999999999</v>
      </c>
      <c r="C596" s="4">
        <v>4.3883999999999999</v>
      </c>
      <c r="D596" s="4">
        <v>0.22786999999999999</v>
      </c>
      <c r="E596" s="4">
        <v>1.5255000000000001</v>
      </c>
      <c r="F596" s="4">
        <v>2.0912000000000002</v>
      </c>
      <c r="G596" s="4">
        <v>129.54</v>
      </c>
      <c r="H596" s="4">
        <v>30.59</v>
      </c>
      <c r="I596" s="4">
        <v>125.55</v>
      </c>
      <c r="J596" s="4">
        <v>172.9</v>
      </c>
      <c r="K596" s="4">
        <v>1.1736</v>
      </c>
      <c r="L596" s="4">
        <v>10.555999999999999</v>
      </c>
      <c r="M596" s="4">
        <v>2.1381000000000001E-2</v>
      </c>
      <c r="N596" s="4" t="s">
        <v>20</v>
      </c>
    </row>
    <row r="597" spans="1:14" ht="17" x14ac:dyDescent="0.35">
      <c r="A597" s="15">
        <v>119.86</v>
      </c>
      <c r="B597" s="16">
        <v>24.925000000000001</v>
      </c>
      <c r="C597" s="4">
        <v>4.4157000000000002</v>
      </c>
      <c r="D597" s="4">
        <v>0.22647</v>
      </c>
      <c r="E597" s="4">
        <v>1.522</v>
      </c>
      <c r="F597" s="4">
        <v>2.0865</v>
      </c>
      <c r="G597" s="4">
        <v>129.47999999999999</v>
      </c>
      <c r="H597" s="4">
        <v>30.655000000000001</v>
      </c>
      <c r="I597" s="4">
        <v>127.01</v>
      </c>
      <c r="J597" s="4">
        <v>172.8</v>
      </c>
      <c r="K597" s="4">
        <v>1.1702999999999999</v>
      </c>
      <c r="L597" s="4">
        <v>10.58</v>
      </c>
      <c r="M597" s="4">
        <v>2.1499000000000001E-2</v>
      </c>
      <c r="N597" s="4" t="s">
        <v>20</v>
      </c>
    </row>
    <row r="598" spans="1:14" ht="17" x14ac:dyDescent="0.35">
      <c r="A598" s="15">
        <v>119.94</v>
      </c>
      <c r="B598" s="16">
        <v>25.024999999999999</v>
      </c>
      <c r="C598" s="4">
        <v>4.4431000000000003</v>
      </c>
      <c r="D598" s="4">
        <v>0.22506999999999999</v>
      </c>
      <c r="E598" s="4">
        <v>1.5185</v>
      </c>
      <c r="F598" s="4">
        <v>2.0817000000000001</v>
      </c>
      <c r="G598" s="4">
        <v>129.43</v>
      </c>
      <c r="H598" s="4">
        <v>30.72</v>
      </c>
      <c r="I598" s="4">
        <v>128.5</v>
      </c>
      <c r="J598" s="4">
        <v>172.69</v>
      </c>
      <c r="K598" s="4">
        <v>1.167</v>
      </c>
      <c r="L598" s="4">
        <v>10.603999999999999</v>
      </c>
      <c r="M598" s="4">
        <v>2.1617999999999998E-2</v>
      </c>
      <c r="N598" s="4" t="s">
        <v>20</v>
      </c>
    </row>
    <row r="599" spans="1:14" ht="17" x14ac:dyDescent="0.35">
      <c r="A599" s="15">
        <v>120.02</v>
      </c>
      <c r="B599" s="16">
        <v>25.125</v>
      </c>
      <c r="C599" s="4">
        <v>4.4706999999999999</v>
      </c>
      <c r="D599" s="4">
        <v>0.22367999999999999</v>
      </c>
      <c r="E599" s="4">
        <v>1.5148999999999999</v>
      </c>
      <c r="F599" s="4">
        <v>2.0769000000000002</v>
      </c>
      <c r="G599" s="4">
        <v>129.37</v>
      </c>
      <c r="H599" s="4">
        <v>30.786000000000001</v>
      </c>
      <c r="I599" s="4">
        <v>130.03</v>
      </c>
      <c r="J599" s="4">
        <v>172.59</v>
      </c>
      <c r="K599" s="4">
        <v>1.1636</v>
      </c>
      <c r="L599" s="4">
        <v>10.628</v>
      </c>
      <c r="M599" s="4">
        <v>2.1738E-2</v>
      </c>
      <c r="N599" s="4" t="s">
        <v>20</v>
      </c>
    </row>
    <row r="600" spans="1:14" ht="17" x14ac:dyDescent="0.35">
      <c r="A600" s="15">
        <v>120.09</v>
      </c>
      <c r="B600" s="16">
        <v>25.225000000000001</v>
      </c>
      <c r="C600" s="4">
        <v>4.4984000000000002</v>
      </c>
      <c r="D600" s="4">
        <v>0.2223</v>
      </c>
      <c r="E600" s="4">
        <v>1.5113000000000001</v>
      </c>
      <c r="F600" s="4">
        <v>2.0720999999999998</v>
      </c>
      <c r="G600" s="4">
        <v>129.31</v>
      </c>
      <c r="H600" s="4">
        <v>30.853000000000002</v>
      </c>
      <c r="I600" s="4">
        <v>131.59</v>
      </c>
      <c r="J600" s="4">
        <v>172.48</v>
      </c>
      <c r="K600" s="4">
        <v>1.1603000000000001</v>
      </c>
      <c r="L600" s="4">
        <v>10.653</v>
      </c>
      <c r="M600" s="4">
        <v>2.1860999999999998E-2</v>
      </c>
      <c r="N600" s="4" t="s">
        <v>20</v>
      </c>
    </row>
    <row r="601" spans="1:14" ht="17" x14ac:dyDescent="0.35">
      <c r="A601" s="15">
        <v>120.17</v>
      </c>
      <c r="B601" s="16">
        <v>25.324999999999999</v>
      </c>
      <c r="C601" s="4">
        <v>4.5263999999999998</v>
      </c>
      <c r="D601" s="4">
        <v>0.22092000000000001</v>
      </c>
      <c r="E601" s="4">
        <v>1.5077</v>
      </c>
      <c r="F601" s="4">
        <v>2.0672000000000001</v>
      </c>
      <c r="G601" s="4">
        <v>129.25</v>
      </c>
      <c r="H601" s="4">
        <v>30.92</v>
      </c>
      <c r="I601" s="4">
        <v>133.19</v>
      </c>
      <c r="J601" s="4">
        <v>172.37</v>
      </c>
      <c r="K601" s="4">
        <v>1.157</v>
      </c>
      <c r="L601" s="4">
        <v>10.677</v>
      </c>
      <c r="M601" s="4">
        <v>2.1985000000000001E-2</v>
      </c>
      <c r="N601" s="4" t="s">
        <v>20</v>
      </c>
    </row>
    <row r="602" spans="1:14" ht="17" x14ac:dyDescent="0.35">
      <c r="A602" s="15">
        <v>120.25</v>
      </c>
      <c r="B602" s="16">
        <v>25.425000000000001</v>
      </c>
      <c r="C602" s="4">
        <v>4.5545999999999998</v>
      </c>
      <c r="D602" s="4">
        <v>0.21956000000000001</v>
      </c>
      <c r="E602" s="4">
        <v>1.504</v>
      </c>
      <c r="F602" s="4">
        <v>2.0621999999999998</v>
      </c>
      <c r="G602" s="4">
        <v>129.19</v>
      </c>
      <c r="H602" s="4">
        <v>30.988</v>
      </c>
      <c r="I602" s="4">
        <v>134.82</v>
      </c>
      <c r="J602" s="4">
        <v>172.27</v>
      </c>
      <c r="K602" s="4">
        <v>1.1536</v>
      </c>
      <c r="L602" s="4">
        <v>10.702</v>
      </c>
      <c r="M602" s="4">
        <v>2.2110000000000001E-2</v>
      </c>
      <c r="N602" s="4" t="s">
        <v>20</v>
      </c>
    </row>
    <row r="603" spans="1:14" ht="17" x14ac:dyDescent="0.35">
      <c r="A603" s="15">
        <v>120.33</v>
      </c>
      <c r="B603" s="16">
        <v>25.524999999999999</v>
      </c>
      <c r="C603" s="4">
        <v>4.5830000000000002</v>
      </c>
      <c r="D603" s="4">
        <v>0.21820000000000001</v>
      </c>
      <c r="E603" s="4">
        <v>1.5003</v>
      </c>
      <c r="F603" s="4">
        <v>2.0571999999999999</v>
      </c>
      <c r="G603" s="4">
        <v>129.13</v>
      </c>
      <c r="H603" s="4">
        <v>31.056999999999999</v>
      </c>
      <c r="I603" s="4">
        <v>136.5</v>
      </c>
      <c r="J603" s="4">
        <v>172.16</v>
      </c>
      <c r="K603" s="4">
        <v>1.1501999999999999</v>
      </c>
      <c r="L603" s="4">
        <v>10.727</v>
      </c>
      <c r="M603" s="4">
        <v>2.2238000000000001E-2</v>
      </c>
      <c r="N603" s="4" t="s">
        <v>20</v>
      </c>
    </row>
    <row r="604" spans="1:14" ht="17" x14ac:dyDescent="0.35">
      <c r="A604" s="15">
        <v>120.41</v>
      </c>
      <c r="B604" s="16">
        <v>25.625</v>
      </c>
      <c r="C604" s="4">
        <v>4.6116000000000001</v>
      </c>
      <c r="D604" s="4">
        <v>0.21684</v>
      </c>
      <c r="E604" s="4">
        <v>1.4964999999999999</v>
      </c>
      <c r="F604" s="4">
        <v>2.0522</v>
      </c>
      <c r="G604" s="4">
        <v>129.07</v>
      </c>
      <c r="H604" s="4">
        <v>31.126999999999999</v>
      </c>
      <c r="I604" s="4">
        <v>138.22</v>
      </c>
      <c r="J604" s="4">
        <v>172.05</v>
      </c>
      <c r="K604" s="4">
        <v>1.1468</v>
      </c>
      <c r="L604" s="4">
        <v>10.752000000000001</v>
      </c>
      <c r="M604" s="4">
        <v>2.2367000000000001E-2</v>
      </c>
      <c r="N604" s="4" t="s">
        <v>20</v>
      </c>
    </row>
    <row r="605" spans="1:14" ht="17" x14ac:dyDescent="0.35">
      <c r="A605" s="15">
        <v>120.49</v>
      </c>
      <c r="B605" s="16">
        <v>25.725000000000001</v>
      </c>
      <c r="C605" s="4">
        <v>4.6403999999999996</v>
      </c>
      <c r="D605" s="4">
        <v>0.2155</v>
      </c>
      <c r="E605" s="4">
        <v>1.4926999999999999</v>
      </c>
      <c r="F605" s="4">
        <v>2.0470999999999999</v>
      </c>
      <c r="G605" s="4">
        <v>129.01</v>
      </c>
      <c r="H605" s="4">
        <v>31.196999999999999</v>
      </c>
      <c r="I605" s="4">
        <v>139.97999999999999</v>
      </c>
      <c r="J605" s="4">
        <v>171.93</v>
      </c>
      <c r="K605" s="4">
        <v>1.1434</v>
      </c>
      <c r="L605" s="4">
        <v>10.778</v>
      </c>
      <c r="M605" s="4">
        <v>2.2498000000000001E-2</v>
      </c>
      <c r="N605" s="4" t="s">
        <v>20</v>
      </c>
    </row>
    <row r="606" spans="1:14" ht="17" x14ac:dyDescent="0.35">
      <c r="A606" s="15">
        <v>120.56</v>
      </c>
      <c r="B606" s="16">
        <v>25.824999999999999</v>
      </c>
      <c r="C606" s="4">
        <v>4.6694000000000004</v>
      </c>
      <c r="D606" s="4">
        <v>0.21415999999999999</v>
      </c>
      <c r="E606" s="4">
        <v>1.4888999999999999</v>
      </c>
      <c r="F606" s="4">
        <v>2.0419999999999998</v>
      </c>
      <c r="G606" s="4">
        <v>128.94999999999999</v>
      </c>
      <c r="H606" s="4">
        <v>31.268000000000001</v>
      </c>
      <c r="I606" s="4">
        <v>141.79</v>
      </c>
      <c r="J606" s="4">
        <v>171.82</v>
      </c>
      <c r="K606" s="4">
        <v>1.1399999999999999</v>
      </c>
      <c r="L606" s="4">
        <v>10.803000000000001</v>
      </c>
      <c r="M606" s="4">
        <v>2.2631999999999999E-2</v>
      </c>
      <c r="N606" s="4" t="s">
        <v>20</v>
      </c>
    </row>
    <row r="607" spans="1:14" ht="17" x14ac:dyDescent="0.35">
      <c r="A607" s="15">
        <v>120.64</v>
      </c>
      <c r="B607" s="16">
        <v>25.925000000000001</v>
      </c>
      <c r="C607" s="4">
        <v>4.6986999999999997</v>
      </c>
      <c r="D607" s="4">
        <v>0.21282999999999999</v>
      </c>
      <c r="E607" s="4">
        <v>1.4850000000000001</v>
      </c>
      <c r="F607" s="4">
        <v>2.0367999999999999</v>
      </c>
      <c r="G607" s="4">
        <v>128.88999999999999</v>
      </c>
      <c r="H607" s="4">
        <v>31.338999999999999</v>
      </c>
      <c r="I607" s="4">
        <v>143.63999999999999</v>
      </c>
      <c r="J607" s="4">
        <v>171.71</v>
      </c>
      <c r="K607" s="4">
        <v>1.1365000000000001</v>
      </c>
      <c r="L607" s="4">
        <v>10.829000000000001</v>
      </c>
      <c r="M607" s="4">
        <v>2.2766999999999999E-2</v>
      </c>
      <c r="N607" s="4" t="s">
        <v>20</v>
      </c>
    </row>
    <row r="608" spans="1:14" ht="17" x14ac:dyDescent="0.35">
      <c r="A608" s="15">
        <v>120.72</v>
      </c>
      <c r="B608" s="16">
        <v>26.024999999999999</v>
      </c>
      <c r="C608" s="4">
        <v>4.7282000000000002</v>
      </c>
      <c r="D608" s="4">
        <v>0.21149999999999999</v>
      </c>
      <c r="E608" s="4">
        <v>1.4811000000000001</v>
      </c>
      <c r="F608" s="4">
        <v>2.0316000000000001</v>
      </c>
      <c r="G608" s="4">
        <v>128.83000000000001</v>
      </c>
      <c r="H608" s="4">
        <v>31.411000000000001</v>
      </c>
      <c r="I608" s="4">
        <v>145.54</v>
      </c>
      <c r="J608" s="4">
        <v>171.6</v>
      </c>
      <c r="K608" s="4">
        <v>1.1331</v>
      </c>
      <c r="L608" s="4">
        <v>10.855</v>
      </c>
      <c r="M608" s="4">
        <v>2.2904000000000001E-2</v>
      </c>
      <c r="N608" s="4" t="s">
        <v>20</v>
      </c>
    </row>
    <row r="609" spans="1:14" ht="17" x14ac:dyDescent="0.35">
      <c r="A609" s="15">
        <v>120.8</v>
      </c>
      <c r="B609" s="16">
        <v>26.125</v>
      </c>
      <c r="C609" s="4">
        <v>4.7579000000000002</v>
      </c>
      <c r="D609" s="4">
        <v>0.21018000000000001</v>
      </c>
      <c r="E609" s="4">
        <v>1.4772000000000001</v>
      </c>
      <c r="F609" s="4">
        <v>2.0263</v>
      </c>
      <c r="G609" s="4">
        <v>128.77000000000001</v>
      </c>
      <c r="H609" s="4">
        <v>31.484999999999999</v>
      </c>
      <c r="I609" s="4">
        <v>147.5</v>
      </c>
      <c r="J609" s="4">
        <v>171.48</v>
      </c>
      <c r="K609" s="4">
        <v>1.1295999999999999</v>
      </c>
      <c r="L609" s="4">
        <v>10.882</v>
      </c>
      <c r="M609" s="4">
        <v>2.3043000000000001E-2</v>
      </c>
      <c r="N609" s="4" t="s">
        <v>20</v>
      </c>
    </row>
    <row r="610" spans="1:14" ht="17" x14ac:dyDescent="0.35">
      <c r="A610" s="15">
        <v>120.87</v>
      </c>
      <c r="B610" s="16">
        <v>26.225000000000001</v>
      </c>
      <c r="C610" s="4">
        <v>4.7877999999999998</v>
      </c>
      <c r="D610" s="4">
        <v>0.20885999999999999</v>
      </c>
      <c r="E610" s="4">
        <v>1.4732000000000001</v>
      </c>
      <c r="F610" s="4">
        <v>2.0209000000000001</v>
      </c>
      <c r="G610" s="4">
        <v>128.71</v>
      </c>
      <c r="H610" s="4">
        <v>31.559000000000001</v>
      </c>
      <c r="I610" s="4">
        <v>149.5</v>
      </c>
      <c r="J610" s="4">
        <v>171.37</v>
      </c>
      <c r="K610" s="4">
        <v>1.1261000000000001</v>
      </c>
      <c r="L610" s="4">
        <v>10.907999999999999</v>
      </c>
      <c r="M610" s="4">
        <v>2.3184E-2</v>
      </c>
      <c r="N610" s="4" t="s">
        <v>20</v>
      </c>
    </row>
    <row r="611" spans="1:14" ht="17" x14ac:dyDescent="0.35">
      <c r="A611" s="15">
        <v>120.95</v>
      </c>
      <c r="B611" s="16">
        <v>26.324999999999999</v>
      </c>
      <c r="C611" s="4">
        <v>4.8179999999999996</v>
      </c>
      <c r="D611" s="4">
        <v>0.20755999999999999</v>
      </c>
      <c r="E611" s="4">
        <v>1.4691000000000001</v>
      </c>
      <c r="F611" s="4">
        <v>2.0154999999999998</v>
      </c>
      <c r="G611" s="4">
        <v>128.63999999999999</v>
      </c>
      <c r="H611" s="4">
        <v>31.632999999999999</v>
      </c>
      <c r="I611" s="4">
        <v>151.56</v>
      </c>
      <c r="J611" s="4">
        <v>171.25</v>
      </c>
      <c r="K611" s="4">
        <v>1.1226</v>
      </c>
      <c r="L611" s="4">
        <v>10.935</v>
      </c>
      <c r="M611" s="4">
        <v>2.3328000000000002E-2</v>
      </c>
      <c r="N611" s="4" t="s">
        <v>20</v>
      </c>
    </row>
    <row r="612" spans="1:14" ht="17" x14ac:dyDescent="0.35">
      <c r="A612" s="15">
        <v>121.03</v>
      </c>
      <c r="B612" s="16">
        <v>26.425000000000001</v>
      </c>
      <c r="C612" s="4">
        <v>4.8483999999999998</v>
      </c>
      <c r="D612" s="4">
        <v>0.20624999999999999</v>
      </c>
      <c r="E612" s="4">
        <v>1.4651000000000001</v>
      </c>
      <c r="F612" s="4">
        <v>2.0101</v>
      </c>
      <c r="G612" s="4">
        <v>128.58000000000001</v>
      </c>
      <c r="H612" s="4">
        <v>31.709</v>
      </c>
      <c r="I612" s="4">
        <v>153.66999999999999</v>
      </c>
      <c r="J612" s="4">
        <v>171.13</v>
      </c>
      <c r="K612" s="4">
        <v>1.1191</v>
      </c>
      <c r="L612" s="4">
        <v>10.962</v>
      </c>
      <c r="M612" s="4">
        <v>2.3473999999999998E-2</v>
      </c>
      <c r="N612" s="4" t="s">
        <v>20</v>
      </c>
    </row>
    <row r="613" spans="1:14" ht="17" x14ac:dyDescent="0.35">
      <c r="A613" s="15">
        <v>121.1</v>
      </c>
      <c r="B613" s="16">
        <v>26.524999999999999</v>
      </c>
      <c r="C613" s="4">
        <v>4.8791000000000002</v>
      </c>
      <c r="D613" s="4">
        <v>0.20496</v>
      </c>
      <c r="E613" s="4">
        <v>1.4609000000000001</v>
      </c>
      <c r="F613" s="4">
        <v>2.0045999999999999</v>
      </c>
      <c r="G613" s="4">
        <v>128.52000000000001</v>
      </c>
      <c r="H613" s="4">
        <v>31.785</v>
      </c>
      <c r="I613" s="4">
        <v>155.85</v>
      </c>
      <c r="J613" s="4">
        <v>171.01</v>
      </c>
      <c r="K613" s="4">
        <v>1.1154999999999999</v>
      </c>
      <c r="L613" s="4">
        <v>10.99</v>
      </c>
      <c r="M613" s="4">
        <v>2.3622000000000001E-2</v>
      </c>
      <c r="N613" s="4" t="s">
        <v>20</v>
      </c>
    </row>
    <row r="614" spans="1:14" ht="17" x14ac:dyDescent="0.35">
      <c r="A614" s="15">
        <v>121.18</v>
      </c>
      <c r="B614" s="16">
        <v>26.625</v>
      </c>
      <c r="C614" s="4">
        <v>4.91</v>
      </c>
      <c r="D614" s="4">
        <v>0.20366999999999999</v>
      </c>
      <c r="E614" s="4">
        <v>1.4567000000000001</v>
      </c>
      <c r="F614" s="4">
        <v>1.9990000000000001</v>
      </c>
      <c r="G614" s="4">
        <v>128.46</v>
      </c>
      <c r="H614" s="4">
        <v>31.863</v>
      </c>
      <c r="I614" s="4">
        <v>158.08000000000001</v>
      </c>
      <c r="J614" s="4">
        <v>170.89</v>
      </c>
      <c r="K614" s="4">
        <v>1.1119000000000001</v>
      </c>
      <c r="L614" s="4">
        <v>11.016999999999999</v>
      </c>
      <c r="M614" s="4">
        <v>2.3772000000000001E-2</v>
      </c>
      <c r="N614" s="4" t="s">
        <v>20</v>
      </c>
    </row>
    <row r="615" spans="1:14" ht="17" x14ac:dyDescent="0.35">
      <c r="A615" s="15">
        <v>121.25</v>
      </c>
      <c r="B615" s="16">
        <v>26.725000000000001</v>
      </c>
      <c r="C615" s="4">
        <v>4.9412000000000003</v>
      </c>
      <c r="D615" s="4">
        <v>0.20238</v>
      </c>
      <c r="E615" s="4">
        <v>1.4524999999999999</v>
      </c>
      <c r="F615" s="4">
        <v>1.9934000000000001</v>
      </c>
      <c r="G615" s="4">
        <v>128.38999999999999</v>
      </c>
      <c r="H615" s="4">
        <v>31.940999999999999</v>
      </c>
      <c r="I615" s="4">
        <v>160.38</v>
      </c>
      <c r="J615" s="4">
        <v>170.77</v>
      </c>
      <c r="K615" s="4">
        <v>1.1084000000000001</v>
      </c>
      <c r="L615" s="4">
        <v>11.045</v>
      </c>
      <c r="M615" s="4">
        <v>2.3924999999999998E-2</v>
      </c>
      <c r="N615" s="4" t="s">
        <v>20</v>
      </c>
    </row>
    <row r="616" spans="1:14" ht="17" x14ac:dyDescent="0.35">
      <c r="A616" s="15">
        <v>121.33</v>
      </c>
      <c r="B616" s="16">
        <v>26.824999999999999</v>
      </c>
      <c r="C616" s="4">
        <v>4.9726999999999997</v>
      </c>
      <c r="D616" s="4">
        <v>0.2011</v>
      </c>
      <c r="E616" s="4">
        <v>1.4481999999999999</v>
      </c>
      <c r="F616" s="4">
        <v>1.9877</v>
      </c>
      <c r="G616" s="4">
        <v>128.33000000000001</v>
      </c>
      <c r="H616" s="4">
        <v>32.020000000000003</v>
      </c>
      <c r="I616" s="4">
        <v>162.74</v>
      </c>
      <c r="J616" s="4">
        <v>170.65</v>
      </c>
      <c r="K616" s="4">
        <v>1.1047</v>
      </c>
      <c r="L616" s="4">
        <v>11.073</v>
      </c>
      <c r="M616" s="4">
        <v>2.4081000000000002E-2</v>
      </c>
      <c r="N616" s="4" t="s">
        <v>20</v>
      </c>
    </row>
    <row r="617" spans="1:14" ht="17" x14ac:dyDescent="0.35">
      <c r="A617" s="15">
        <v>121.4</v>
      </c>
      <c r="B617" s="16">
        <v>26.925000000000001</v>
      </c>
      <c r="C617" s="4">
        <v>5.0044000000000004</v>
      </c>
      <c r="D617" s="4">
        <v>0.19982</v>
      </c>
      <c r="E617" s="4">
        <v>1.4439</v>
      </c>
      <c r="F617" s="4">
        <v>1.982</v>
      </c>
      <c r="G617" s="4">
        <v>128.27000000000001</v>
      </c>
      <c r="H617" s="4">
        <v>32.100999999999999</v>
      </c>
      <c r="I617" s="4">
        <v>165.18</v>
      </c>
      <c r="J617" s="4">
        <v>170.53</v>
      </c>
      <c r="K617" s="4">
        <v>1.1011</v>
      </c>
      <c r="L617" s="4">
        <v>11.101000000000001</v>
      </c>
      <c r="M617" s="4">
        <v>2.4239E-2</v>
      </c>
      <c r="N617" s="4" t="s">
        <v>20</v>
      </c>
    </row>
    <row r="618" spans="1:14" ht="17" x14ac:dyDescent="0.35">
      <c r="A618" s="15">
        <v>121.48</v>
      </c>
      <c r="B618" s="16">
        <v>27.024999999999999</v>
      </c>
      <c r="C618" s="4">
        <v>5.0364000000000004</v>
      </c>
      <c r="D618" s="4">
        <v>0.19855</v>
      </c>
      <c r="E618" s="4">
        <v>1.4396</v>
      </c>
      <c r="F618" s="4">
        <v>1.9761</v>
      </c>
      <c r="G618" s="4">
        <v>128.19999999999999</v>
      </c>
      <c r="H618" s="4">
        <v>32.182000000000002</v>
      </c>
      <c r="I618" s="4">
        <v>167.69</v>
      </c>
      <c r="J618" s="4">
        <v>170.4</v>
      </c>
      <c r="K618" s="4">
        <v>1.0974999999999999</v>
      </c>
      <c r="L618" s="4">
        <v>11.13</v>
      </c>
      <c r="M618" s="4">
        <v>2.4400000000000002E-2</v>
      </c>
      <c r="N618" s="4" t="s">
        <v>20</v>
      </c>
    </row>
    <row r="619" spans="1:14" ht="17" x14ac:dyDescent="0.35">
      <c r="A619" s="15">
        <v>121.55</v>
      </c>
      <c r="B619" s="16">
        <v>27.125</v>
      </c>
      <c r="C619" s="4">
        <v>5.0686999999999998</v>
      </c>
      <c r="D619" s="4">
        <v>0.19728999999999999</v>
      </c>
      <c r="E619" s="4">
        <v>1.4351</v>
      </c>
      <c r="F619" s="4">
        <v>1.9702999999999999</v>
      </c>
      <c r="G619" s="4">
        <v>128.13999999999999</v>
      </c>
      <c r="H619" s="4">
        <v>32.264000000000003</v>
      </c>
      <c r="I619" s="4">
        <v>170.27</v>
      </c>
      <c r="J619" s="4">
        <v>170.28</v>
      </c>
      <c r="K619" s="4">
        <v>1.0938000000000001</v>
      </c>
      <c r="L619" s="4">
        <v>11.159000000000001</v>
      </c>
      <c r="M619" s="4">
        <v>2.4563999999999999E-2</v>
      </c>
      <c r="N619" s="4" t="s">
        <v>20</v>
      </c>
    </row>
    <row r="620" spans="1:14" ht="17" x14ac:dyDescent="0.35">
      <c r="A620" s="15">
        <v>121.63</v>
      </c>
      <c r="B620" s="16">
        <v>27.225000000000001</v>
      </c>
      <c r="C620" s="4">
        <v>5.1013000000000002</v>
      </c>
      <c r="D620" s="4">
        <v>0.19603000000000001</v>
      </c>
      <c r="E620" s="4">
        <v>1.4307000000000001</v>
      </c>
      <c r="F620" s="4">
        <v>1.9642999999999999</v>
      </c>
      <c r="G620" s="4">
        <v>128.07</v>
      </c>
      <c r="H620" s="4">
        <v>32.347999999999999</v>
      </c>
      <c r="I620" s="4">
        <v>172.93</v>
      </c>
      <c r="J620" s="4">
        <v>170.15</v>
      </c>
      <c r="K620" s="4">
        <v>1.0901000000000001</v>
      </c>
      <c r="L620" s="4">
        <v>11.188000000000001</v>
      </c>
      <c r="M620" s="4">
        <v>2.4731E-2</v>
      </c>
      <c r="N620" s="4" t="s">
        <v>20</v>
      </c>
    </row>
    <row r="621" spans="1:14" ht="17" x14ac:dyDescent="0.35">
      <c r="A621" s="15">
        <v>121.7</v>
      </c>
      <c r="B621" s="16">
        <v>27.324999999999999</v>
      </c>
      <c r="C621" s="4">
        <v>5.1341999999999999</v>
      </c>
      <c r="D621" s="4">
        <v>0.19477</v>
      </c>
      <c r="E621" s="4">
        <v>1.4260999999999999</v>
      </c>
      <c r="F621" s="4">
        <v>1.9582999999999999</v>
      </c>
      <c r="G621" s="4">
        <v>128.01</v>
      </c>
      <c r="H621" s="4">
        <v>32.432000000000002</v>
      </c>
      <c r="I621" s="4">
        <v>175.68</v>
      </c>
      <c r="J621" s="4">
        <v>170.02</v>
      </c>
      <c r="K621" s="4">
        <v>1.0864</v>
      </c>
      <c r="L621" s="4">
        <v>11.218</v>
      </c>
      <c r="M621" s="4">
        <v>2.4901E-2</v>
      </c>
      <c r="N621" s="4" t="s">
        <v>20</v>
      </c>
    </row>
    <row r="622" spans="1:14" ht="17" x14ac:dyDescent="0.35">
      <c r="A622" s="15">
        <v>121.78</v>
      </c>
      <c r="B622" s="16">
        <v>27.425000000000001</v>
      </c>
      <c r="C622" s="4">
        <v>5.1673999999999998</v>
      </c>
      <c r="D622" s="4">
        <v>0.19352</v>
      </c>
      <c r="E622" s="4">
        <v>1.4215</v>
      </c>
      <c r="F622" s="4">
        <v>1.9522999999999999</v>
      </c>
      <c r="G622" s="4">
        <v>127.94</v>
      </c>
      <c r="H622" s="4">
        <v>32.518000000000001</v>
      </c>
      <c r="I622" s="4">
        <v>178.51</v>
      </c>
      <c r="J622" s="4">
        <v>169.89</v>
      </c>
      <c r="K622" s="4">
        <v>1.0826</v>
      </c>
      <c r="L622" s="4">
        <v>11.247999999999999</v>
      </c>
      <c r="M622" s="4">
        <v>2.5073999999999999E-2</v>
      </c>
      <c r="N622" s="4" t="s">
        <v>20</v>
      </c>
    </row>
    <row r="623" spans="1:14" ht="17" x14ac:dyDescent="0.35">
      <c r="A623" s="15">
        <v>121.85</v>
      </c>
      <c r="B623" s="16">
        <v>27.524999999999999</v>
      </c>
      <c r="C623" s="4">
        <v>5.2009999999999996</v>
      </c>
      <c r="D623" s="4">
        <v>0.19227</v>
      </c>
      <c r="E623" s="4">
        <v>1.4169</v>
      </c>
      <c r="F623" s="4">
        <v>1.9460999999999999</v>
      </c>
      <c r="G623" s="4">
        <v>127.87</v>
      </c>
      <c r="H623" s="4">
        <v>32.604999999999997</v>
      </c>
      <c r="I623" s="4">
        <v>181.44</v>
      </c>
      <c r="J623" s="4">
        <v>169.76</v>
      </c>
      <c r="K623" s="4">
        <v>1.0788</v>
      </c>
      <c r="L623" s="4">
        <v>11.278</v>
      </c>
      <c r="M623" s="4">
        <v>2.5250000000000002E-2</v>
      </c>
      <c r="N623" s="4" t="s">
        <v>20</v>
      </c>
    </row>
    <row r="624" spans="1:14" ht="17" x14ac:dyDescent="0.35">
      <c r="A624" s="15">
        <v>121.93</v>
      </c>
      <c r="B624" s="16">
        <v>27.625</v>
      </c>
      <c r="C624" s="4">
        <v>5.2347999999999999</v>
      </c>
      <c r="D624" s="4">
        <v>0.19103000000000001</v>
      </c>
      <c r="E624" s="4">
        <v>1.4121999999999999</v>
      </c>
      <c r="F624" s="4">
        <v>1.9399</v>
      </c>
      <c r="G624" s="4">
        <v>127.81</v>
      </c>
      <c r="H624" s="4">
        <v>32.692999999999998</v>
      </c>
      <c r="I624" s="4">
        <v>184.46</v>
      </c>
      <c r="J624" s="4">
        <v>169.63</v>
      </c>
      <c r="K624" s="4">
        <v>1.075</v>
      </c>
      <c r="L624" s="4">
        <v>11.308999999999999</v>
      </c>
      <c r="M624" s="4">
        <v>2.5430000000000001E-2</v>
      </c>
      <c r="N624" s="4" t="s">
        <v>20</v>
      </c>
    </row>
    <row r="625" spans="1:14" ht="17" x14ac:dyDescent="0.35">
      <c r="A625" s="15">
        <v>122</v>
      </c>
      <c r="B625" s="16">
        <v>27.725000000000001</v>
      </c>
      <c r="C625" s="4">
        <v>5.2690000000000001</v>
      </c>
      <c r="D625" s="4">
        <v>0.18978999999999999</v>
      </c>
      <c r="E625" s="4">
        <v>1.4074</v>
      </c>
      <c r="F625" s="4">
        <v>1.9336</v>
      </c>
      <c r="G625" s="4">
        <v>127.74</v>
      </c>
      <c r="H625" s="4">
        <v>32.781999999999996</v>
      </c>
      <c r="I625" s="4">
        <v>187.58</v>
      </c>
      <c r="J625" s="4">
        <v>169.5</v>
      </c>
      <c r="K625" s="4">
        <v>1.0711999999999999</v>
      </c>
      <c r="L625" s="4">
        <v>11.34</v>
      </c>
      <c r="M625" s="4">
        <v>2.5613E-2</v>
      </c>
      <c r="N625" s="4" t="s">
        <v>20</v>
      </c>
    </row>
    <row r="626" spans="1:14" ht="17" x14ac:dyDescent="0.35">
      <c r="A626" s="15">
        <v>122.07</v>
      </c>
      <c r="B626" s="16">
        <v>27.824999999999999</v>
      </c>
      <c r="C626" s="4">
        <v>5.3034999999999997</v>
      </c>
      <c r="D626" s="4">
        <v>0.18855</v>
      </c>
      <c r="E626" s="4">
        <v>1.4026000000000001</v>
      </c>
      <c r="F626" s="4">
        <v>1.9273</v>
      </c>
      <c r="G626" s="4">
        <v>127.67</v>
      </c>
      <c r="H626" s="4">
        <v>32.872999999999998</v>
      </c>
      <c r="I626" s="4">
        <v>190.8</v>
      </c>
      <c r="J626" s="4">
        <v>169.36</v>
      </c>
      <c r="K626" s="4">
        <v>1.0673999999999999</v>
      </c>
      <c r="L626" s="4">
        <v>11.371</v>
      </c>
      <c r="M626" s="4">
        <v>2.5798999999999999E-2</v>
      </c>
      <c r="N626" s="4" t="s">
        <v>20</v>
      </c>
    </row>
    <row r="627" spans="1:14" ht="17" x14ac:dyDescent="0.35">
      <c r="A627" s="15">
        <v>122.15</v>
      </c>
      <c r="B627" s="16">
        <v>27.925000000000001</v>
      </c>
      <c r="C627" s="4">
        <v>5.3384</v>
      </c>
      <c r="D627" s="4">
        <v>0.18731999999999999</v>
      </c>
      <c r="E627" s="4">
        <v>1.3976999999999999</v>
      </c>
      <c r="F627" s="4">
        <v>1.9208000000000001</v>
      </c>
      <c r="G627" s="4">
        <v>127.6</v>
      </c>
      <c r="H627" s="4">
        <v>32.965000000000003</v>
      </c>
      <c r="I627" s="4">
        <v>194.14</v>
      </c>
      <c r="J627" s="4">
        <v>169.22</v>
      </c>
      <c r="K627" s="4">
        <v>1.0634999999999999</v>
      </c>
      <c r="L627" s="4">
        <v>11.403</v>
      </c>
      <c r="M627" s="4">
        <v>2.5989999999999999E-2</v>
      </c>
      <c r="N627" s="4" t="s">
        <v>20</v>
      </c>
    </row>
    <row r="628" spans="1:14" ht="17" x14ac:dyDescent="0.35">
      <c r="A628" s="15">
        <v>122.22</v>
      </c>
      <c r="B628" s="16">
        <v>28.024999999999999</v>
      </c>
      <c r="C628" s="4">
        <v>5.3735999999999997</v>
      </c>
      <c r="D628" s="4">
        <v>0.18609000000000001</v>
      </c>
      <c r="E628" s="4">
        <v>1.3928</v>
      </c>
      <c r="F628" s="4">
        <v>1.9142999999999999</v>
      </c>
      <c r="G628" s="4">
        <v>127.54</v>
      </c>
      <c r="H628" s="4">
        <v>33.058</v>
      </c>
      <c r="I628" s="4">
        <v>197.59</v>
      </c>
      <c r="J628" s="4">
        <v>169.09</v>
      </c>
      <c r="K628" s="4">
        <v>1.0596000000000001</v>
      </c>
      <c r="L628" s="4">
        <v>11.435</v>
      </c>
      <c r="M628" s="4">
        <v>2.6183999999999999E-2</v>
      </c>
      <c r="N628" s="4" t="s">
        <v>20</v>
      </c>
    </row>
    <row r="629" spans="1:14" ht="17" x14ac:dyDescent="0.35">
      <c r="A629" s="15">
        <v>122.29</v>
      </c>
      <c r="B629" s="16">
        <v>28.125</v>
      </c>
      <c r="C629" s="4">
        <v>5.4092000000000002</v>
      </c>
      <c r="D629" s="4">
        <v>0.18487000000000001</v>
      </c>
      <c r="E629" s="4">
        <v>1.3877999999999999</v>
      </c>
      <c r="F629" s="4">
        <v>1.9077</v>
      </c>
      <c r="G629" s="4">
        <v>127.47</v>
      </c>
      <c r="H629" s="4">
        <v>33.152999999999999</v>
      </c>
      <c r="I629" s="4">
        <v>201.17</v>
      </c>
      <c r="J629" s="4">
        <v>168.94</v>
      </c>
      <c r="K629" s="4">
        <v>1.0556000000000001</v>
      </c>
      <c r="L629" s="4">
        <v>11.467000000000001</v>
      </c>
      <c r="M629" s="4">
        <v>2.6381999999999999E-2</v>
      </c>
      <c r="N629" s="4" t="s">
        <v>20</v>
      </c>
    </row>
    <row r="630" spans="1:14" ht="17" x14ac:dyDescent="0.35">
      <c r="A630" s="15">
        <v>122.36</v>
      </c>
      <c r="B630" s="16">
        <v>28.225000000000001</v>
      </c>
      <c r="C630" s="4">
        <v>5.4451999999999998</v>
      </c>
      <c r="D630" s="4">
        <v>0.18365000000000001</v>
      </c>
      <c r="E630" s="4">
        <v>1.3827</v>
      </c>
      <c r="F630" s="4">
        <v>1.9011</v>
      </c>
      <c r="G630" s="4">
        <v>127.4</v>
      </c>
      <c r="H630" s="4">
        <v>33.249000000000002</v>
      </c>
      <c r="I630" s="4">
        <v>204.87</v>
      </c>
      <c r="J630" s="4">
        <v>168.8</v>
      </c>
      <c r="K630" s="4">
        <v>1.0517000000000001</v>
      </c>
      <c r="L630" s="4">
        <v>11.5</v>
      </c>
      <c r="M630" s="4">
        <v>2.6584E-2</v>
      </c>
      <c r="N630" s="4" t="s">
        <v>20</v>
      </c>
    </row>
    <row r="631" spans="1:14" ht="17" x14ac:dyDescent="0.35">
      <c r="A631" s="15">
        <v>122.44</v>
      </c>
      <c r="B631" s="16">
        <v>28.324999999999999</v>
      </c>
      <c r="C631" s="4">
        <v>5.4816000000000003</v>
      </c>
      <c r="D631" s="4">
        <v>0.18243000000000001</v>
      </c>
      <c r="E631" s="4">
        <v>1.3775999999999999</v>
      </c>
      <c r="F631" s="4">
        <v>1.8943000000000001</v>
      </c>
      <c r="G631" s="4">
        <v>127.33</v>
      </c>
      <c r="H631" s="4">
        <v>33.347000000000001</v>
      </c>
      <c r="I631" s="4">
        <v>208.71</v>
      </c>
      <c r="J631" s="4">
        <v>168.66</v>
      </c>
      <c r="K631" s="4">
        <v>1.0477000000000001</v>
      </c>
      <c r="L631" s="4">
        <v>11.532999999999999</v>
      </c>
      <c r="M631" s="4">
        <v>2.6790999999999999E-2</v>
      </c>
      <c r="N631" s="4" t="s">
        <v>20</v>
      </c>
    </row>
    <row r="632" spans="1:14" ht="17" x14ac:dyDescent="0.35">
      <c r="A632" s="15">
        <v>122.51</v>
      </c>
      <c r="B632" s="16">
        <v>28.425000000000001</v>
      </c>
      <c r="C632" s="4">
        <v>5.5183999999999997</v>
      </c>
      <c r="D632" s="4">
        <v>0.18121000000000001</v>
      </c>
      <c r="E632" s="4">
        <v>1.3724000000000001</v>
      </c>
      <c r="F632" s="4">
        <v>1.8875</v>
      </c>
      <c r="G632" s="4">
        <v>127.26</v>
      </c>
      <c r="H632" s="4">
        <v>33.447000000000003</v>
      </c>
      <c r="I632" s="4">
        <v>212.7</v>
      </c>
      <c r="J632" s="4">
        <v>168.51</v>
      </c>
      <c r="K632" s="4">
        <v>1.0436000000000001</v>
      </c>
      <c r="L632" s="4">
        <v>11.567</v>
      </c>
      <c r="M632" s="4">
        <v>2.7002999999999999E-2</v>
      </c>
      <c r="N632" s="4" t="s">
        <v>20</v>
      </c>
    </row>
    <row r="633" spans="1:14" ht="17" x14ac:dyDescent="0.35">
      <c r="A633" s="15">
        <v>122.58</v>
      </c>
      <c r="B633" s="16">
        <v>28.524999999999999</v>
      </c>
      <c r="C633" s="4">
        <v>5.5556000000000001</v>
      </c>
      <c r="D633" s="4">
        <v>0.18</v>
      </c>
      <c r="E633" s="4">
        <v>1.3671</v>
      </c>
      <c r="F633" s="4">
        <v>1.8805000000000001</v>
      </c>
      <c r="G633" s="4">
        <v>127.19</v>
      </c>
      <c r="H633" s="4">
        <v>33.548000000000002</v>
      </c>
      <c r="I633" s="4">
        <v>216.84</v>
      </c>
      <c r="J633" s="4">
        <v>168.36</v>
      </c>
      <c r="K633" s="4">
        <v>1.0396000000000001</v>
      </c>
      <c r="L633" s="4">
        <v>11.601000000000001</v>
      </c>
      <c r="M633" s="4">
        <v>2.7219E-2</v>
      </c>
      <c r="N633" s="4" t="s">
        <v>20</v>
      </c>
    </row>
    <row r="634" spans="1:14" ht="17" x14ac:dyDescent="0.35">
      <c r="A634" s="15">
        <v>122.65</v>
      </c>
      <c r="B634" s="16">
        <v>28.625</v>
      </c>
      <c r="C634" s="4">
        <v>5.5932000000000004</v>
      </c>
      <c r="D634" s="4">
        <v>0.17879</v>
      </c>
      <c r="E634" s="4">
        <v>1.3616999999999999</v>
      </c>
      <c r="F634" s="4">
        <v>1.8734999999999999</v>
      </c>
      <c r="G634" s="4">
        <v>127.11</v>
      </c>
      <c r="H634" s="4">
        <v>33.651000000000003</v>
      </c>
      <c r="I634" s="4">
        <v>221.13</v>
      </c>
      <c r="J634" s="4">
        <v>168.21</v>
      </c>
      <c r="K634" s="4">
        <v>1.0355000000000001</v>
      </c>
      <c r="L634" s="4">
        <v>11.635999999999999</v>
      </c>
      <c r="M634" s="4">
        <v>2.7439999999999999E-2</v>
      </c>
      <c r="N634" s="4" t="s">
        <v>20</v>
      </c>
    </row>
    <row r="635" spans="1:14" ht="17" x14ac:dyDescent="0.35">
      <c r="A635" s="15">
        <v>122.72</v>
      </c>
      <c r="B635" s="16">
        <v>28.725000000000001</v>
      </c>
      <c r="C635" s="4">
        <v>5.6313000000000004</v>
      </c>
      <c r="D635" s="4">
        <v>0.17757999999999999</v>
      </c>
      <c r="E635" s="4">
        <v>1.3563000000000001</v>
      </c>
      <c r="F635" s="4">
        <v>1.8664000000000001</v>
      </c>
      <c r="G635" s="4">
        <v>127.04</v>
      </c>
      <c r="H635" s="4">
        <v>33.756</v>
      </c>
      <c r="I635" s="4">
        <v>225.6</v>
      </c>
      <c r="J635" s="4">
        <v>168.06</v>
      </c>
      <c r="K635" s="4">
        <v>1.0313000000000001</v>
      </c>
      <c r="L635" s="4">
        <v>11.670999999999999</v>
      </c>
      <c r="M635" s="4">
        <v>2.7666E-2</v>
      </c>
      <c r="N635" s="4" t="s">
        <v>20</v>
      </c>
    </row>
    <row r="636" spans="1:14" ht="17" x14ac:dyDescent="0.35">
      <c r="A636" s="15">
        <v>122.79</v>
      </c>
      <c r="B636" s="16">
        <v>28.824999999999999</v>
      </c>
      <c r="C636" s="4">
        <v>5.6698000000000004</v>
      </c>
      <c r="D636" s="4">
        <v>0.17637</v>
      </c>
      <c r="E636" s="4">
        <v>1.3508</v>
      </c>
      <c r="F636" s="4">
        <v>1.8592</v>
      </c>
      <c r="G636" s="4">
        <v>126.97</v>
      </c>
      <c r="H636" s="4">
        <v>33.863</v>
      </c>
      <c r="I636" s="4">
        <v>230.25</v>
      </c>
      <c r="J636" s="4">
        <v>167.9</v>
      </c>
      <c r="K636" s="4">
        <v>1.0271999999999999</v>
      </c>
      <c r="L636" s="4">
        <v>11.706</v>
      </c>
      <c r="M636" s="4">
        <v>2.7897000000000002E-2</v>
      </c>
      <c r="N636" s="4" t="s">
        <v>20</v>
      </c>
    </row>
    <row r="637" spans="1:14" ht="17" x14ac:dyDescent="0.35">
      <c r="A637" s="15">
        <v>122.86</v>
      </c>
      <c r="B637" s="16">
        <v>28.925000000000001</v>
      </c>
      <c r="C637" s="4">
        <v>5.7088000000000001</v>
      </c>
      <c r="D637" s="4">
        <v>0.17516999999999999</v>
      </c>
      <c r="E637" s="4">
        <v>1.3452</v>
      </c>
      <c r="F637" s="4">
        <v>1.8517999999999999</v>
      </c>
      <c r="G637" s="4">
        <v>126.89</v>
      </c>
      <c r="H637" s="4">
        <v>33.970999999999997</v>
      </c>
      <c r="I637" s="4">
        <v>235.09</v>
      </c>
      <c r="J637" s="4">
        <v>167.74</v>
      </c>
      <c r="K637" s="4">
        <v>1.0229999999999999</v>
      </c>
      <c r="L637" s="4">
        <v>11.742000000000001</v>
      </c>
      <c r="M637" s="4">
        <v>2.8133999999999999E-2</v>
      </c>
      <c r="N637" s="4" t="s">
        <v>20</v>
      </c>
    </row>
    <row r="638" spans="1:14" ht="17" x14ac:dyDescent="0.35">
      <c r="A638" s="15">
        <v>122.94</v>
      </c>
      <c r="B638" s="16">
        <v>29.024999999999999</v>
      </c>
      <c r="C638" s="4">
        <v>5.7481999999999998</v>
      </c>
      <c r="D638" s="4">
        <v>0.17397000000000001</v>
      </c>
      <c r="E638" s="4">
        <v>1.3394999999999999</v>
      </c>
      <c r="F638" s="4">
        <v>1.8444</v>
      </c>
      <c r="G638" s="4">
        <v>126.82</v>
      </c>
      <c r="H638" s="4">
        <v>34.082000000000001</v>
      </c>
      <c r="I638" s="4">
        <v>240.13</v>
      </c>
      <c r="J638" s="4">
        <v>167.58</v>
      </c>
      <c r="K638" s="4">
        <v>1.0186999999999999</v>
      </c>
      <c r="L638" s="4">
        <v>11.779</v>
      </c>
      <c r="M638" s="4">
        <v>2.8376999999999999E-2</v>
      </c>
      <c r="N638" s="4" t="s">
        <v>20</v>
      </c>
    </row>
    <row r="639" spans="1:14" ht="17" x14ac:dyDescent="0.35">
      <c r="A639" s="15">
        <v>123.01</v>
      </c>
      <c r="B639" s="16">
        <v>29.125</v>
      </c>
      <c r="C639" s="4">
        <v>5.7881999999999998</v>
      </c>
      <c r="D639" s="4">
        <v>0.17277000000000001</v>
      </c>
      <c r="E639" s="4">
        <v>1.3337000000000001</v>
      </c>
      <c r="F639" s="4">
        <v>1.8369</v>
      </c>
      <c r="G639" s="4">
        <v>126.74</v>
      </c>
      <c r="H639" s="4">
        <v>34.195</v>
      </c>
      <c r="I639" s="4">
        <v>245.39</v>
      </c>
      <c r="J639" s="4">
        <v>167.42</v>
      </c>
      <c r="K639" s="4">
        <v>1.0144</v>
      </c>
      <c r="L639" s="4">
        <v>11.816000000000001</v>
      </c>
      <c r="M639" s="4">
        <v>2.8625999999999999E-2</v>
      </c>
      <c r="N639" s="4" t="s">
        <v>20</v>
      </c>
    </row>
    <row r="640" spans="1:14" ht="17" x14ac:dyDescent="0.35">
      <c r="A640" s="15">
        <v>123.08</v>
      </c>
      <c r="B640" s="16">
        <v>29.225000000000001</v>
      </c>
      <c r="C640" s="4">
        <v>5.8287000000000004</v>
      </c>
      <c r="D640" s="4">
        <v>0.17157</v>
      </c>
      <c r="E640" s="4">
        <v>1.3279000000000001</v>
      </c>
      <c r="F640" s="4">
        <v>1.8292999999999999</v>
      </c>
      <c r="G640" s="4">
        <v>126.67</v>
      </c>
      <c r="H640" s="4">
        <v>34.31</v>
      </c>
      <c r="I640" s="4">
        <v>250.88</v>
      </c>
      <c r="J640" s="4">
        <v>167.25</v>
      </c>
      <c r="K640" s="4">
        <v>1.0101</v>
      </c>
      <c r="L640" s="4">
        <v>11.853999999999999</v>
      </c>
      <c r="M640" s="4">
        <v>2.8882000000000001E-2</v>
      </c>
      <c r="N640" s="4" t="s">
        <v>20</v>
      </c>
    </row>
    <row r="641" spans="1:14" ht="17" x14ac:dyDescent="0.35">
      <c r="A641" s="15">
        <v>123.15</v>
      </c>
      <c r="B641" s="16">
        <v>29.324999999999999</v>
      </c>
      <c r="C641" s="4">
        <v>5.8696999999999999</v>
      </c>
      <c r="D641" s="4">
        <v>0.17036999999999999</v>
      </c>
      <c r="E641" s="4">
        <v>1.3219000000000001</v>
      </c>
      <c r="F641" s="4">
        <v>1.8214999999999999</v>
      </c>
      <c r="G641" s="4">
        <v>126.59</v>
      </c>
      <c r="H641" s="4">
        <v>34.427999999999997</v>
      </c>
      <c r="I641" s="4">
        <v>256.61</v>
      </c>
      <c r="J641" s="4">
        <v>167.08</v>
      </c>
      <c r="K641" s="4">
        <v>1.0057</v>
      </c>
      <c r="L641" s="4">
        <v>11.891999999999999</v>
      </c>
      <c r="M641" s="4">
        <v>2.9144E-2</v>
      </c>
      <c r="N641" s="4" t="s">
        <v>20</v>
      </c>
    </row>
    <row r="642" spans="1:14" ht="17" x14ac:dyDescent="0.35">
      <c r="A642" s="15">
        <v>123.22</v>
      </c>
      <c r="B642" s="16">
        <v>29.425000000000001</v>
      </c>
      <c r="C642" s="4">
        <v>5.9112999999999998</v>
      </c>
      <c r="D642" s="4">
        <v>0.16916999999999999</v>
      </c>
      <c r="E642" s="4">
        <v>1.3159000000000001</v>
      </c>
      <c r="F642" s="4">
        <v>1.8137000000000001</v>
      </c>
      <c r="G642" s="4">
        <v>126.51</v>
      </c>
      <c r="H642" s="4">
        <v>34.546999999999997</v>
      </c>
      <c r="I642" s="4">
        <v>262.61</v>
      </c>
      <c r="J642" s="4">
        <v>166.91</v>
      </c>
      <c r="K642" s="4">
        <v>1.0013000000000001</v>
      </c>
      <c r="L642" s="4">
        <v>11.930999999999999</v>
      </c>
      <c r="M642" s="4">
        <v>2.9413999999999999E-2</v>
      </c>
      <c r="N642" s="4" t="s">
        <v>20</v>
      </c>
    </row>
    <row r="643" spans="1:14" ht="17" x14ac:dyDescent="0.35">
      <c r="A643" s="15">
        <v>123.29</v>
      </c>
      <c r="B643" s="16">
        <v>29.524999999999999</v>
      </c>
      <c r="C643" s="4">
        <v>5.9534000000000002</v>
      </c>
      <c r="D643" s="4">
        <v>0.16797000000000001</v>
      </c>
      <c r="E643" s="4">
        <v>1.3098000000000001</v>
      </c>
      <c r="F643" s="4">
        <v>1.8057000000000001</v>
      </c>
      <c r="G643" s="4">
        <v>126.44</v>
      </c>
      <c r="H643" s="4">
        <v>34.67</v>
      </c>
      <c r="I643" s="4">
        <v>268.88</v>
      </c>
      <c r="J643" s="4">
        <v>166.74</v>
      </c>
      <c r="K643" s="4">
        <v>0.99685000000000001</v>
      </c>
      <c r="L643" s="4">
        <v>11.971</v>
      </c>
      <c r="M643" s="4">
        <v>2.9690000000000001E-2</v>
      </c>
      <c r="N643" s="4" t="s">
        <v>20</v>
      </c>
    </row>
    <row r="644" spans="1:14" ht="17" x14ac:dyDescent="0.35">
      <c r="A644" s="15">
        <v>123.36</v>
      </c>
      <c r="B644" s="16">
        <v>29.625</v>
      </c>
      <c r="C644" s="4">
        <v>5.9962</v>
      </c>
      <c r="D644" s="4">
        <v>0.16677</v>
      </c>
      <c r="E644" s="4">
        <v>1.3035000000000001</v>
      </c>
      <c r="F644" s="4">
        <v>1.7976000000000001</v>
      </c>
      <c r="G644" s="4">
        <v>126.36</v>
      </c>
      <c r="H644" s="4">
        <v>34.795000000000002</v>
      </c>
      <c r="I644" s="4">
        <v>275.45999999999998</v>
      </c>
      <c r="J644" s="4">
        <v>166.56</v>
      </c>
      <c r="K644" s="4">
        <v>0.99234</v>
      </c>
      <c r="L644" s="4">
        <v>12.010999999999999</v>
      </c>
      <c r="M644" s="4">
        <v>2.9975000000000002E-2</v>
      </c>
      <c r="N644" s="4" t="s">
        <v>20</v>
      </c>
    </row>
    <row r="645" spans="1:14" ht="17" x14ac:dyDescent="0.35">
      <c r="A645" s="15">
        <v>123.43</v>
      </c>
      <c r="B645" s="16">
        <v>29.725000000000001</v>
      </c>
      <c r="C645" s="4">
        <v>6.0395000000000003</v>
      </c>
      <c r="D645" s="4">
        <v>0.16558</v>
      </c>
      <c r="E645" s="4">
        <v>1.2971999999999999</v>
      </c>
      <c r="F645" s="4">
        <v>1.7894000000000001</v>
      </c>
      <c r="G645" s="4">
        <v>126.28</v>
      </c>
      <c r="H645" s="4">
        <v>34.923000000000002</v>
      </c>
      <c r="I645" s="4">
        <v>282.36</v>
      </c>
      <c r="J645" s="4">
        <v>166.37</v>
      </c>
      <c r="K645" s="4">
        <v>0.98777999999999999</v>
      </c>
      <c r="L645" s="4">
        <v>12.052</v>
      </c>
      <c r="M645" s="4">
        <v>3.0268E-2</v>
      </c>
      <c r="N645" s="4" t="s">
        <v>20</v>
      </c>
    </row>
    <row r="646" spans="1:14" ht="17" x14ac:dyDescent="0.35">
      <c r="A646" s="15">
        <v>123.5</v>
      </c>
      <c r="B646" s="16">
        <v>29.824999999999999</v>
      </c>
      <c r="C646" s="4">
        <v>6.0835999999999997</v>
      </c>
      <c r="D646" s="4">
        <v>0.16438</v>
      </c>
      <c r="E646" s="4">
        <v>1.2907</v>
      </c>
      <c r="F646" s="4">
        <v>1.7809999999999999</v>
      </c>
      <c r="G646" s="4">
        <v>126.19</v>
      </c>
      <c r="H646" s="4">
        <v>35.054000000000002</v>
      </c>
      <c r="I646" s="4">
        <v>289.60000000000002</v>
      </c>
      <c r="J646" s="4">
        <v>166.19</v>
      </c>
      <c r="K646" s="4">
        <v>0.98316999999999999</v>
      </c>
      <c r="L646" s="4">
        <v>12.093999999999999</v>
      </c>
      <c r="M646" s="4">
        <v>3.0568999999999999E-2</v>
      </c>
      <c r="N646" s="4" t="s">
        <v>20</v>
      </c>
    </row>
    <row r="647" spans="1:14" ht="17" x14ac:dyDescent="0.35">
      <c r="A647" s="15">
        <v>123.56</v>
      </c>
      <c r="B647" s="16">
        <v>29.925000000000001</v>
      </c>
      <c r="C647" s="4">
        <v>6.1281999999999996</v>
      </c>
      <c r="D647" s="4">
        <v>0.16317999999999999</v>
      </c>
      <c r="E647" s="4">
        <v>1.2842</v>
      </c>
      <c r="F647" s="4">
        <v>1.7725</v>
      </c>
      <c r="G647" s="4">
        <v>126.11</v>
      </c>
      <c r="H647" s="4">
        <v>35.188000000000002</v>
      </c>
      <c r="I647" s="4">
        <v>297.22000000000003</v>
      </c>
      <c r="J647" s="4">
        <v>166</v>
      </c>
      <c r="K647" s="4">
        <v>0.97850999999999999</v>
      </c>
      <c r="L647" s="4">
        <v>12.135999999999999</v>
      </c>
      <c r="M647" s="4">
        <v>3.0880000000000001E-2</v>
      </c>
      <c r="N647" s="4" t="s">
        <v>20</v>
      </c>
    </row>
    <row r="648" spans="1:14" ht="17" x14ac:dyDescent="0.35">
      <c r="A648" s="15">
        <v>123.63</v>
      </c>
      <c r="B648" s="16">
        <v>30.024999999999999</v>
      </c>
      <c r="C648" s="4">
        <v>6.1736000000000004</v>
      </c>
      <c r="D648" s="4">
        <v>0.16198000000000001</v>
      </c>
      <c r="E648" s="4">
        <v>1.2775000000000001</v>
      </c>
      <c r="F648" s="4">
        <v>1.7638</v>
      </c>
      <c r="G648" s="4">
        <v>126.03</v>
      </c>
      <c r="H648" s="4">
        <v>35.325000000000003</v>
      </c>
      <c r="I648" s="4">
        <v>305.23</v>
      </c>
      <c r="J648" s="4">
        <v>165.8</v>
      </c>
      <c r="K648" s="4">
        <v>0.97379000000000004</v>
      </c>
      <c r="L648" s="4">
        <v>12.179</v>
      </c>
      <c r="M648" s="4">
        <v>3.1201E-2</v>
      </c>
      <c r="N648" s="4" t="s">
        <v>20</v>
      </c>
    </row>
    <row r="649" spans="1:14" ht="17" x14ac:dyDescent="0.35">
      <c r="A649" s="15">
        <v>123.7</v>
      </c>
      <c r="B649" s="16">
        <v>30.125</v>
      </c>
      <c r="C649" s="4">
        <v>6.2196999999999996</v>
      </c>
      <c r="D649" s="4">
        <v>0.16078000000000001</v>
      </c>
      <c r="E649" s="4">
        <v>1.2706999999999999</v>
      </c>
      <c r="F649" s="4">
        <v>1.7549999999999999</v>
      </c>
      <c r="G649" s="4">
        <v>125.95</v>
      </c>
      <c r="H649" s="4">
        <v>35.466000000000001</v>
      </c>
      <c r="I649" s="4">
        <v>313.69</v>
      </c>
      <c r="J649" s="4">
        <v>165.6</v>
      </c>
      <c r="K649" s="4">
        <v>0.96901999999999999</v>
      </c>
      <c r="L649" s="4">
        <v>12.223000000000001</v>
      </c>
      <c r="M649" s="4">
        <v>3.1531000000000003E-2</v>
      </c>
      <c r="N649" s="4" t="s">
        <v>20</v>
      </c>
    </row>
    <row r="650" spans="1:14" ht="17" x14ac:dyDescent="0.35">
      <c r="A650" s="15">
        <v>123.77</v>
      </c>
      <c r="B650" s="16">
        <v>30.225000000000001</v>
      </c>
      <c r="C650" s="4">
        <v>6.2664999999999997</v>
      </c>
      <c r="D650" s="4">
        <v>0.15958</v>
      </c>
      <c r="E650" s="4">
        <v>1.2638</v>
      </c>
      <c r="F650" s="4">
        <v>1.7461</v>
      </c>
      <c r="G650" s="4">
        <v>125.86</v>
      </c>
      <c r="H650" s="4">
        <v>35.61</v>
      </c>
      <c r="I650" s="4">
        <v>322.60000000000002</v>
      </c>
      <c r="J650" s="4">
        <v>165.4</v>
      </c>
      <c r="K650" s="4">
        <v>0.96418000000000004</v>
      </c>
      <c r="L650" s="4">
        <v>12.268000000000001</v>
      </c>
      <c r="M650" s="4">
        <v>3.1872999999999999E-2</v>
      </c>
      <c r="N650" s="4" t="s">
        <v>20</v>
      </c>
    </row>
    <row r="651" spans="1:14" ht="17" x14ac:dyDescent="0.35">
      <c r="A651" s="15">
        <v>123.84</v>
      </c>
      <c r="B651" s="16">
        <v>30.324999999999999</v>
      </c>
      <c r="C651" s="4">
        <v>6.3140999999999998</v>
      </c>
      <c r="D651" s="4">
        <v>0.15837000000000001</v>
      </c>
      <c r="E651" s="4">
        <v>1.2566999999999999</v>
      </c>
      <c r="F651" s="4">
        <v>1.7370000000000001</v>
      </c>
      <c r="G651" s="4">
        <v>125.77</v>
      </c>
      <c r="H651" s="4">
        <v>35.758000000000003</v>
      </c>
      <c r="I651" s="4">
        <v>332.03</v>
      </c>
      <c r="J651" s="4">
        <v>165.19</v>
      </c>
      <c r="K651" s="4">
        <v>0.95928999999999998</v>
      </c>
      <c r="L651" s="4">
        <v>12.314</v>
      </c>
      <c r="M651" s="4">
        <v>3.2225999999999998E-2</v>
      </c>
      <c r="N651" s="4" t="s">
        <v>20</v>
      </c>
    </row>
    <row r="652" spans="1:14" ht="17" x14ac:dyDescent="0.35">
      <c r="A652" s="15">
        <v>123.91</v>
      </c>
      <c r="B652" s="16">
        <v>30.425000000000001</v>
      </c>
      <c r="C652" s="4">
        <v>6.3625999999999996</v>
      </c>
      <c r="D652" s="4">
        <v>0.15717</v>
      </c>
      <c r="E652" s="4">
        <v>1.2495000000000001</v>
      </c>
      <c r="F652" s="4">
        <v>1.7277</v>
      </c>
      <c r="G652" s="4">
        <v>125.69</v>
      </c>
      <c r="H652" s="4">
        <v>35.909999999999997</v>
      </c>
      <c r="I652" s="4">
        <v>342.01</v>
      </c>
      <c r="J652" s="4">
        <v>164.97</v>
      </c>
      <c r="K652" s="4">
        <v>0.95433000000000001</v>
      </c>
      <c r="L652" s="4">
        <v>12.361000000000001</v>
      </c>
      <c r="M652" s="4">
        <v>3.2592000000000003E-2</v>
      </c>
      <c r="N652" s="4" t="s">
        <v>20</v>
      </c>
    </row>
    <row r="653" spans="1:14" ht="17" x14ac:dyDescent="0.35">
      <c r="A653" s="15">
        <v>123.98</v>
      </c>
      <c r="B653" s="16">
        <v>30.524999999999999</v>
      </c>
      <c r="C653" s="4">
        <v>6.4119000000000002</v>
      </c>
      <c r="D653" s="4">
        <v>0.15595999999999999</v>
      </c>
      <c r="E653" s="4">
        <v>1.2422</v>
      </c>
      <c r="F653" s="4">
        <v>1.7181999999999999</v>
      </c>
      <c r="G653" s="4">
        <v>125.6</v>
      </c>
      <c r="H653" s="4">
        <v>36.067</v>
      </c>
      <c r="I653" s="4">
        <v>352.6</v>
      </c>
      <c r="J653" s="4">
        <v>164.75</v>
      </c>
      <c r="K653" s="4">
        <v>0.94930000000000003</v>
      </c>
      <c r="L653" s="4">
        <v>12.409000000000001</v>
      </c>
      <c r="M653" s="4">
        <v>3.2971E-2</v>
      </c>
      <c r="N653" s="4" t="s">
        <v>20</v>
      </c>
    </row>
    <row r="654" spans="1:14" ht="17" x14ac:dyDescent="0.35">
      <c r="A654" s="15">
        <v>124.04</v>
      </c>
      <c r="B654" s="16">
        <v>30.625</v>
      </c>
      <c r="C654" s="4">
        <v>6.4621000000000004</v>
      </c>
      <c r="D654" s="4">
        <v>0.15475</v>
      </c>
      <c r="E654" s="4">
        <v>1.2346999999999999</v>
      </c>
      <c r="F654" s="4">
        <v>1.7085999999999999</v>
      </c>
      <c r="G654" s="4">
        <v>125.51</v>
      </c>
      <c r="H654" s="4">
        <v>36.226999999999997</v>
      </c>
      <c r="I654" s="4">
        <v>363.83</v>
      </c>
      <c r="J654" s="4">
        <v>164.53</v>
      </c>
      <c r="K654" s="4">
        <v>0.94420000000000004</v>
      </c>
      <c r="L654" s="4">
        <v>12.458</v>
      </c>
      <c r="M654" s="4">
        <v>3.3363999999999998E-2</v>
      </c>
      <c r="N654" s="4" t="s">
        <v>20</v>
      </c>
    </row>
    <row r="655" spans="1:14" ht="17" x14ac:dyDescent="0.35">
      <c r="A655" s="15">
        <v>124.11</v>
      </c>
      <c r="B655" s="16">
        <v>30.725000000000001</v>
      </c>
      <c r="C655" s="4">
        <v>6.5132000000000003</v>
      </c>
      <c r="D655" s="4">
        <v>0.15353</v>
      </c>
      <c r="E655" s="4">
        <v>1.2270000000000001</v>
      </c>
      <c r="F655" s="4">
        <v>1.6988000000000001</v>
      </c>
      <c r="G655" s="4">
        <v>125.41</v>
      </c>
      <c r="H655" s="4">
        <v>36.393000000000001</v>
      </c>
      <c r="I655" s="4">
        <v>375.79</v>
      </c>
      <c r="J655" s="4">
        <v>164.29</v>
      </c>
      <c r="K655" s="4">
        <v>0.93903000000000003</v>
      </c>
      <c r="L655" s="4">
        <v>12.507</v>
      </c>
      <c r="M655" s="4">
        <v>3.3771000000000002E-2</v>
      </c>
      <c r="N655" s="4" t="s">
        <v>20</v>
      </c>
    </row>
    <row r="656" spans="1:14" ht="17" x14ac:dyDescent="0.35">
      <c r="A656" s="15">
        <v>124.18</v>
      </c>
      <c r="B656" s="16">
        <v>30.824999999999999</v>
      </c>
      <c r="C656" s="4">
        <v>6.5654000000000003</v>
      </c>
      <c r="D656" s="4">
        <v>0.15231</v>
      </c>
      <c r="E656" s="4">
        <v>1.2192000000000001</v>
      </c>
      <c r="F656" s="4">
        <v>1.6887000000000001</v>
      </c>
      <c r="G656" s="4">
        <v>125.32</v>
      </c>
      <c r="H656" s="4">
        <v>36.563000000000002</v>
      </c>
      <c r="I656" s="4">
        <v>388.54</v>
      </c>
      <c r="J656" s="4">
        <v>164.05</v>
      </c>
      <c r="K656" s="4">
        <v>0.93379000000000001</v>
      </c>
      <c r="L656" s="4">
        <v>12.558999999999999</v>
      </c>
      <c r="M656" s="4">
        <v>3.4195999999999997E-2</v>
      </c>
      <c r="N656" s="4" t="s">
        <v>20</v>
      </c>
    </row>
    <row r="657" spans="1:14" ht="17" x14ac:dyDescent="0.35">
      <c r="A657" s="15">
        <v>124.25</v>
      </c>
      <c r="B657" s="16">
        <v>30.925000000000001</v>
      </c>
      <c r="C657" s="4">
        <v>6.6185999999999998</v>
      </c>
      <c r="D657" s="4">
        <v>0.15109</v>
      </c>
      <c r="E657" s="4">
        <v>1.2112000000000001</v>
      </c>
      <c r="F657" s="4">
        <v>1.6785000000000001</v>
      </c>
      <c r="G657" s="4">
        <v>125.23</v>
      </c>
      <c r="H657" s="4">
        <v>36.738999999999997</v>
      </c>
      <c r="I657" s="4">
        <v>402.16</v>
      </c>
      <c r="J657" s="4">
        <v>163.81</v>
      </c>
      <c r="K657" s="4">
        <v>0.92845999999999995</v>
      </c>
      <c r="L657" s="4">
        <v>12.611000000000001</v>
      </c>
      <c r="M657" s="4">
        <v>3.4637000000000001E-2</v>
      </c>
      <c r="N657" s="4" t="s">
        <v>20</v>
      </c>
    </row>
    <row r="658" spans="1:14" ht="17" x14ac:dyDescent="0.35">
      <c r="A658" s="15">
        <v>124.31</v>
      </c>
      <c r="B658" s="16">
        <v>31.024999999999999</v>
      </c>
      <c r="C658" s="4">
        <v>6.6727999999999996</v>
      </c>
      <c r="D658" s="4">
        <v>0.14985999999999999</v>
      </c>
      <c r="E658" s="4">
        <v>1.2031000000000001</v>
      </c>
      <c r="F658" s="4">
        <v>1.6679999999999999</v>
      </c>
      <c r="G658" s="4">
        <v>125.13</v>
      </c>
      <c r="H658" s="4">
        <v>36.920999999999999</v>
      </c>
      <c r="I658" s="4">
        <v>416.75</v>
      </c>
      <c r="J658" s="4">
        <v>163.55000000000001</v>
      </c>
      <c r="K658" s="4">
        <v>0.92305000000000004</v>
      </c>
      <c r="L658" s="4">
        <v>12.664</v>
      </c>
      <c r="M658" s="4">
        <v>3.5097000000000003E-2</v>
      </c>
      <c r="N658" s="4" t="s">
        <v>20</v>
      </c>
    </row>
    <row r="659" spans="1:14" ht="17" x14ac:dyDescent="0.35">
      <c r="A659" s="15">
        <v>124.38</v>
      </c>
      <c r="B659" s="16">
        <v>31.125</v>
      </c>
      <c r="C659" s="4">
        <v>6.7282999999999999</v>
      </c>
      <c r="D659" s="4">
        <v>0.14863000000000001</v>
      </c>
      <c r="E659" s="4">
        <v>1.1947000000000001</v>
      </c>
      <c r="F659" s="4">
        <v>1.6573</v>
      </c>
      <c r="G659" s="4">
        <v>125.03</v>
      </c>
      <c r="H659" s="4">
        <v>37.109000000000002</v>
      </c>
      <c r="I659" s="4">
        <v>432.39</v>
      </c>
      <c r="J659" s="4">
        <v>163.29</v>
      </c>
      <c r="K659" s="4">
        <v>0.91756000000000004</v>
      </c>
      <c r="L659" s="4">
        <v>12.718999999999999</v>
      </c>
      <c r="M659" s="4">
        <v>3.5577999999999999E-2</v>
      </c>
      <c r="N659" s="4" t="s">
        <v>20</v>
      </c>
    </row>
    <row r="660" spans="1:14" ht="17" x14ac:dyDescent="0.35">
      <c r="A660" s="15">
        <v>124.45</v>
      </c>
      <c r="B660" s="16">
        <v>31.225000000000001</v>
      </c>
      <c r="C660" s="4">
        <v>6.7850000000000001</v>
      </c>
      <c r="D660" s="4">
        <v>0.14738000000000001</v>
      </c>
      <c r="E660" s="4">
        <v>1.1860999999999999</v>
      </c>
      <c r="F660" s="4">
        <v>1.6464000000000001</v>
      </c>
      <c r="G660" s="4">
        <v>124.93</v>
      </c>
      <c r="H660" s="4">
        <v>37.302999999999997</v>
      </c>
      <c r="I660" s="4">
        <v>449.22</v>
      </c>
      <c r="J660" s="4">
        <v>163.02000000000001</v>
      </c>
      <c r="K660" s="4">
        <v>0.91196999999999995</v>
      </c>
      <c r="L660" s="4">
        <v>12.776</v>
      </c>
      <c r="M660" s="4">
        <v>3.6080000000000001E-2</v>
      </c>
      <c r="N660" s="4" t="s">
        <v>20</v>
      </c>
    </row>
    <row r="661" spans="1:14" ht="17" x14ac:dyDescent="0.35">
      <c r="A661" s="15">
        <v>124.51</v>
      </c>
      <c r="B661" s="16">
        <v>31.324999999999999</v>
      </c>
      <c r="C661" s="4">
        <v>6.8429000000000002</v>
      </c>
      <c r="D661" s="4">
        <v>0.14613999999999999</v>
      </c>
      <c r="E661" s="4">
        <v>1.1774</v>
      </c>
      <c r="F661" s="4">
        <v>1.6351</v>
      </c>
      <c r="G661" s="4">
        <v>124.83</v>
      </c>
      <c r="H661" s="4">
        <v>37.503999999999998</v>
      </c>
      <c r="I661" s="4">
        <v>467.38</v>
      </c>
      <c r="J661" s="4">
        <v>162.74</v>
      </c>
      <c r="K661" s="4">
        <v>0.90627999999999997</v>
      </c>
      <c r="L661" s="4">
        <v>12.834</v>
      </c>
      <c r="M661" s="4">
        <v>3.6606E-2</v>
      </c>
      <c r="N661" s="4" t="s">
        <v>20</v>
      </c>
    </row>
    <row r="662" spans="1:14" ht="17" x14ac:dyDescent="0.35">
      <c r="A662" s="15">
        <v>124.58</v>
      </c>
      <c r="B662" s="16">
        <v>31.425000000000001</v>
      </c>
      <c r="C662" s="4">
        <v>6.9023000000000003</v>
      </c>
      <c r="D662" s="4">
        <v>0.14488000000000001</v>
      </c>
      <c r="E662" s="4">
        <v>1.1684000000000001</v>
      </c>
      <c r="F662" s="4">
        <v>1.6236999999999999</v>
      </c>
      <c r="G662" s="4">
        <v>124.73</v>
      </c>
      <c r="H662" s="4">
        <v>37.713000000000001</v>
      </c>
      <c r="I662" s="4">
        <v>487.02</v>
      </c>
      <c r="J662" s="4">
        <v>162.44</v>
      </c>
      <c r="K662" s="4">
        <v>0.90049000000000001</v>
      </c>
      <c r="L662" s="4">
        <v>12.893000000000001</v>
      </c>
      <c r="M662" s="4">
        <v>3.7157999999999997E-2</v>
      </c>
      <c r="N662" s="4" t="s">
        <v>20</v>
      </c>
    </row>
    <row r="663" spans="1:14" ht="17" x14ac:dyDescent="0.35">
      <c r="A663" s="15">
        <v>124.64</v>
      </c>
      <c r="B663" s="16">
        <v>31.524999999999999</v>
      </c>
      <c r="C663" s="4">
        <v>6.9630999999999998</v>
      </c>
      <c r="D663" s="4">
        <v>0.14360999999999999</v>
      </c>
      <c r="E663" s="4">
        <v>1.1591</v>
      </c>
      <c r="F663" s="4">
        <v>1.6119000000000001</v>
      </c>
      <c r="G663" s="4">
        <v>124.62</v>
      </c>
      <c r="H663" s="4">
        <v>37.929000000000002</v>
      </c>
      <c r="I663" s="4">
        <v>508.32</v>
      </c>
      <c r="J663" s="4">
        <v>162.13999999999999</v>
      </c>
      <c r="K663" s="4">
        <v>0.89459</v>
      </c>
      <c r="L663" s="4">
        <v>12.955</v>
      </c>
      <c r="M663" s="4">
        <v>3.7739000000000002E-2</v>
      </c>
      <c r="N663" s="4" t="s">
        <v>20</v>
      </c>
    </row>
    <row r="664" spans="1:14" ht="17" x14ac:dyDescent="0.35">
      <c r="A664" s="15">
        <v>124.71</v>
      </c>
      <c r="B664" s="16">
        <v>31.625</v>
      </c>
      <c r="C664" s="4">
        <v>7.0255000000000001</v>
      </c>
      <c r="D664" s="4">
        <v>0.14233999999999999</v>
      </c>
      <c r="E664" s="4">
        <v>1.1496</v>
      </c>
      <c r="F664" s="4">
        <v>1.5998000000000001</v>
      </c>
      <c r="G664" s="4">
        <v>124.51</v>
      </c>
      <c r="H664" s="4">
        <v>38.155000000000001</v>
      </c>
      <c r="I664" s="4">
        <v>531.52</v>
      </c>
      <c r="J664" s="4">
        <v>161.83000000000001</v>
      </c>
      <c r="K664" s="4">
        <v>0.88856999999999997</v>
      </c>
      <c r="L664" s="4">
        <v>13.018000000000001</v>
      </c>
      <c r="M664" s="4">
        <v>3.8351000000000003E-2</v>
      </c>
      <c r="N664" s="4" t="s">
        <v>20</v>
      </c>
    </row>
    <row r="665" spans="1:14" ht="17" x14ac:dyDescent="0.35">
      <c r="A665" s="15">
        <v>124.78</v>
      </c>
      <c r="B665" s="16">
        <v>31.725000000000001</v>
      </c>
      <c r="C665" s="4">
        <v>7.0895999999999999</v>
      </c>
      <c r="D665" s="4">
        <v>0.14105000000000001</v>
      </c>
      <c r="E665" s="4">
        <v>1.1397999999999999</v>
      </c>
      <c r="F665" s="4">
        <v>1.5872999999999999</v>
      </c>
      <c r="G665" s="4">
        <v>124.4</v>
      </c>
      <c r="H665" s="4">
        <v>38.389000000000003</v>
      </c>
      <c r="I665" s="4">
        <v>556.87</v>
      </c>
      <c r="J665" s="4">
        <v>161.5</v>
      </c>
      <c r="K665" s="4">
        <v>0.88244</v>
      </c>
      <c r="L665" s="4">
        <v>13.084</v>
      </c>
      <c r="M665" s="4">
        <v>3.8996999999999997E-2</v>
      </c>
      <c r="N665" s="4" t="s">
        <v>20</v>
      </c>
    </row>
    <row r="666" spans="1:14" ht="17" x14ac:dyDescent="0.35">
      <c r="A666" s="15">
        <v>124.84</v>
      </c>
      <c r="B666" s="16">
        <v>31.824999999999999</v>
      </c>
      <c r="C666" s="4">
        <v>7.1555</v>
      </c>
      <c r="D666" s="4">
        <v>0.13975000000000001</v>
      </c>
      <c r="E666" s="4">
        <v>1.1297999999999999</v>
      </c>
      <c r="F666" s="4">
        <v>1.5745</v>
      </c>
      <c r="G666" s="4">
        <v>124.29</v>
      </c>
      <c r="H666" s="4">
        <v>38.634</v>
      </c>
      <c r="I666" s="4">
        <v>584.66999999999996</v>
      </c>
      <c r="J666" s="4">
        <v>161.16</v>
      </c>
      <c r="K666" s="4">
        <v>0.87617</v>
      </c>
      <c r="L666" s="4">
        <v>13.151</v>
      </c>
      <c r="M666" s="4">
        <v>3.9681000000000001E-2</v>
      </c>
      <c r="N666" s="4" t="s">
        <v>20</v>
      </c>
    </row>
    <row r="667" spans="1:14" ht="17" x14ac:dyDescent="0.35">
      <c r="A667" s="15">
        <v>124.91</v>
      </c>
      <c r="B667" s="16">
        <v>31.925000000000001</v>
      </c>
      <c r="C667" s="4">
        <v>7.2233999999999998</v>
      </c>
      <c r="D667" s="4">
        <v>0.13844000000000001</v>
      </c>
      <c r="E667" s="4">
        <v>1.1194</v>
      </c>
      <c r="F667" s="4">
        <v>1.5612999999999999</v>
      </c>
      <c r="G667" s="4">
        <v>124.17</v>
      </c>
      <c r="H667" s="4">
        <v>38.89</v>
      </c>
      <c r="I667" s="4">
        <v>615.30999999999995</v>
      </c>
      <c r="J667" s="4">
        <v>160.80000000000001</v>
      </c>
      <c r="K667" s="4">
        <v>0.86975999999999998</v>
      </c>
      <c r="L667" s="4">
        <v>13.221</v>
      </c>
      <c r="M667" s="4">
        <v>4.0407999999999999E-2</v>
      </c>
      <c r="N667" s="4" t="s">
        <v>20</v>
      </c>
    </row>
    <row r="668" spans="1:14" ht="17" x14ac:dyDescent="0.35">
      <c r="A668" s="15">
        <v>124.97</v>
      </c>
      <c r="B668" s="16">
        <v>32.024999999999999</v>
      </c>
      <c r="C668" s="4">
        <v>7.2933000000000003</v>
      </c>
      <c r="D668" s="4">
        <v>0.13711000000000001</v>
      </c>
      <c r="E668" s="4">
        <v>1.1086</v>
      </c>
      <c r="F668" s="4">
        <v>1.5477000000000001</v>
      </c>
      <c r="G668" s="4">
        <v>124.05</v>
      </c>
      <c r="H668" s="4">
        <v>39.158000000000001</v>
      </c>
      <c r="I668" s="4">
        <v>649.22</v>
      </c>
      <c r="J668" s="4">
        <v>160.41999999999999</v>
      </c>
      <c r="K668" s="4">
        <v>0.86319999999999997</v>
      </c>
      <c r="L668" s="4">
        <v>13.294</v>
      </c>
      <c r="M668" s="4">
        <v>4.1182000000000003E-2</v>
      </c>
      <c r="N668" s="4" t="s">
        <v>20</v>
      </c>
    </row>
    <row r="669" spans="1:14" ht="17" x14ac:dyDescent="0.35">
      <c r="A669" s="15">
        <v>125.04</v>
      </c>
      <c r="B669" s="16">
        <v>32.125</v>
      </c>
      <c r="C669" s="4">
        <v>7.3654999999999999</v>
      </c>
      <c r="D669" s="4">
        <v>0.13577</v>
      </c>
      <c r="E669" s="4">
        <v>1.0974999999999999</v>
      </c>
      <c r="F669" s="4">
        <v>1.5337000000000001</v>
      </c>
      <c r="G669" s="4">
        <v>123.93</v>
      </c>
      <c r="H669" s="4">
        <v>39.439</v>
      </c>
      <c r="I669" s="4">
        <v>686.96</v>
      </c>
      <c r="J669" s="4">
        <v>160.03</v>
      </c>
      <c r="K669" s="4">
        <v>0.85648000000000002</v>
      </c>
      <c r="L669" s="4">
        <v>13.369</v>
      </c>
      <c r="M669" s="4">
        <v>4.2009999999999999E-2</v>
      </c>
      <c r="N669" s="4" t="s">
        <v>20</v>
      </c>
    </row>
    <row r="670" spans="1:14" ht="17" x14ac:dyDescent="0.35">
      <c r="A670" s="15">
        <v>125.1</v>
      </c>
      <c r="B670" s="16">
        <v>32.225000000000001</v>
      </c>
      <c r="C670" s="4">
        <v>7.4402999999999997</v>
      </c>
      <c r="D670" s="4">
        <v>0.13439999999999999</v>
      </c>
      <c r="E670" s="4">
        <v>1.0860000000000001</v>
      </c>
      <c r="F670" s="4">
        <v>1.5190999999999999</v>
      </c>
      <c r="G670" s="4">
        <v>123.8</v>
      </c>
      <c r="H670" s="4">
        <v>39.734000000000002</v>
      </c>
      <c r="I670" s="4">
        <v>729.2</v>
      </c>
      <c r="J670" s="4">
        <v>159.62</v>
      </c>
      <c r="K670" s="4">
        <v>0.84958999999999996</v>
      </c>
      <c r="L670" s="4">
        <v>13.446999999999999</v>
      </c>
      <c r="M670" s="4">
        <v>4.2897999999999999E-2</v>
      </c>
      <c r="N670" s="4" t="s">
        <v>20</v>
      </c>
    </row>
    <row r="671" spans="1:14" ht="17" x14ac:dyDescent="0.35">
      <c r="A671" s="15">
        <v>125.17</v>
      </c>
      <c r="B671" s="16">
        <v>32.325000000000003</v>
      </c>
      <c r="C671" s="4">
        <v>7.5176999999999996</v>
      </c>
      <c r="D671" s="4">
        <v>0.13302</v>
      </c>
      <c r="E671" s="4">
        <v>1.0741000000000001</v>
      </c>
      <c r="F671" s="4">
        <v>1.504</v>
      </c>
      <c r="G671" s="4">
        <v>123.67</v>
      </c>
      <c r="H671" s="4">
        <v>40.045999999999999</v>
      </c>
      <c r="I671" s="4">
        <v>776.8</v>
      </c>
      <c r="J671" s="4">
        <v>159.18</v>
      </c>
      <c r="K671" s="4">
        <v>0.84250999999999998</v>
      </c>
      <c r="L671" s="4">
        <v>13.529</v>
      </c>
      <c r="M671" s="4">
        <v>4.3855999999999999E-2</v>
      </c>
      <c r="N671" s="4" t="s">
        <v>20</v>
      </c>
    </row>
    <row r="672" spans="1:14" ht="17" x14ac:dyDescent="0.35">
      <c r="A672" s="15">
        <v>125.23</v>
      </c>
      <c r="B672" s="16">
        <v>32.424999999999997</v>
      </c>
      <c r="C672" s="4">
        <v>7.5982000000000003</v>
      </c>
      <c r="D672" s="4">
        <v>0.13161</v>
      </c>
      <c r="E672" s="4">
        <v>1.0616000000000001</v>
      </c>
      <c r="F672" s="4">
        <v>1.4883999999999999</v>
      </c>
      <c r="G672" s="4">
        <v>123.53</v>
      </c>
      <c r="H672" s="4">
        <v>40.375</v>
      </c>
      <c r="I672" s="4">
        <v>830.81</v>
      </c>
      <c r="J672" s="4">
        <v>158.72</v>
      </c>
      <c r="K672" s="4">
        <v>0.83523000000000003</v>
      </c>
      <c r="L672" s="4">
        <v>13.615</v>
      </c>
      <c r="M672" s="4">
        <v>4.4893000000000002E-2</v>
      </c>
      <c r="N672" s="4" t="s">
        <v>20</v>
      </c>
    </row>
    <row r="673" spans="1:14" ht="17" x14ac:dyDescent="0.35">
      <c r="A673" s="15">
        <v>125.29</v>
      </c>
      <c r="B673" s="16">
        <v>32.524999999999999</v>
      </c>
      <c r="C673" s="4">
        <v>7.6820000000000004</v>
      </c>
      <c r="D673" s="4">
        <v>0.13017000000000001</v>
      </c>
      <c r="E673" s="4">
        <v>1.0486</v>
      </c>
      <c r="F673" s="4">
        <v>1.472</v>
      </c>
      <c r="G673" s="4">
        <v>123.39</v>
      </c>
      <c r="H673" s="4">
        <v>40.723999999999997</v>
      </c>
      <c r="I673" s="4">
        <v>892.63</v>
      </c>
      <c r="J673" s="4">
        <v>158.22</v>
      </c>
      <c r="K673" s="4">
        <v>0.82772000000000001</v>
      </c>
      <c r="L673" s="4">
        <v>13.705</v>
      </c>
      <c r="M673" s="4">
        <v>4.6023000000000001E-2</v>
      </c>
      <c r="N673" s="4" t="s">
        <v>20</v>
      </c>
    </row>
    <row r="674" spans="1:14" ht="17" x14ac:dyDescent="0.35">
      <c r="A674" s="15">
        <v>125.36</v>
      </c>
      <c r="B674" s="16">
        <v>32.625</v>
      </c>
      <c r="C674" s="4">
        <v>7.7695999999999996</v>
      </c>
      <c r="D674" s="4">
        <v>0.12870999999999999</v>
      </c>
      <c r="E674" s="4">
        <v>1.0350999999999999</v>
      </c>
      <c r="F674" s="4">
        <v>1.4550000000000001</v>
      </c>
      <c r="G674" s="4">
        <v>123.25</v>
      </c>
      <c r="H674" s="4">
        <v>41.094999999999999</v>
      </c>
      <c r="I674" s="4">
        <v>964.04</v>
      </c>
      <c r="J674" s="4">
        <v>157.69999999999999</v>
      </c>
      <c r="K674" s="4">
        <v>0.81996999999999998</v>
      </c>
      <c r="L674" s="4">
        <v>13.8</v>
      </c>
      <c r="M674" s="4">
        <v>4.7260000000000003E-2</v>
      </c>
      <c r="N674" s="4" t="s">
        <v>20</v>
      </c>
    </row>
    <row r="675" spans="1:14" ht="17" x14ac:dyDescent="0.35">
      <c r="A675" s="15">
        <v>125.42</v>
      </c>
      <c r="B675" s="16">
        <v>32.725000000000001</v>
      </c>
      <c r="C675" s="4">
        <v>7.8613</v>
      </c>
      <c r="D675" s="4">
        <v>0.12720999999999999</v>
      </c>
      <c r="E675" s="4">
        <v>1.0207999999999999</v>
      </c>
      <c r="F675" s="4">
        <v>1.4371</v>
      </c>
      <c r="G675" s="4">
        <v>123.09</v>
      </c>
      <c r="H675" s="4">
        <v>41.491</v>
      </c>
      <c r="I675" s="4">
        <v>1047.4000000000001</v>
      </c>
      <c r="J675" s="4">
        <v>157.13999999999999</v>
      </c>
      <c r="K675" s="4">
        <v>0.81194</v>
      </c>
      <c r="L675" s="4">
        <v>13.9</v>
      </c>
      <c r="M675" s="4">
        <v>4.8626999999999997E-2</v>
      </c>
      <c r="N675" s="4" t="s">
        <v>20</v>
      </c>
    </row>
    <row r="676" spans="1:14" ht="17" x14ac:dyDescent="0.35">
      <c r="A676" s="15">
        <v>125.49</v>
      </c>
      <c r="B676" s="16">
        <v>32.825000000000003</v>
      </c>
      <c r="C676" s="4">
        <v>7.9577999999999998</v>
      </c>
      <c r="D676" s="4">
        <v>0.12565999999999999</v>
      </c>
      <c r="E676" s="4">
        <v>1.0058</v>
      </c>
      <c r="F676" s="4">
        <v>1.4182999999999999</v>
      </c>
      <c r="G676" s="4">
        <v>122.93</v>
      </c>
      <c r="H676" s="4">
        <v>41.914999999999999</v>
      </c>
      <c r="I676" s="4">
        <v>1146.0999999999999</v>
      </c>
      <c r="J676" s="4">
        <v>156.54</v>
      </c>
      <c r="K676" s="4">
        <v>0.80359999999999998</v>
      </c>
      <c r="L676" s="4">
        <v>14.006</v>
      </c>
      <c r="M676" s="4">
        <v>5.0148999999999999E-2</v>
      </c>
      <c r="N676" s="4" t="s">
        <v>20</v>
      </c>
    </row>
    <row r="677" spans="1:14" ht="17" x14ac:dyDescent="0.35">
      <c r="A677" s="15">
        <v>125.55</v>
      </c>
      <c r="B677" s="16">
        <v>32.924999999999997</v>
      </c>
      <c r="C677" s="4">
        <v>8.0597999999999992</v>
      </c>
      <c r="D677" s="4">
        <v>0.12407</v>
      </c>
      <c r="E677" s="4">
        <v>0.98992000000000002</v>
      </c>
      <c r="F677" s="4">
        <v>1.3984000000000001</v>
      </c>
      <c r="G677" s="4">
        <v>122.76</v>
      </c>
      <c r="H677" s="4">
        <v>42.372</v>
      </c>
      <c r="I677" s="4">
        <v>1264.5</v>
      </c>
      <c r="J677" s="4">
        <v>155.88999999999999</v>
      </c>
      <c r="K677" s="4">
        <v>0.79491999999999996</v>
      </c>
      <c r="L677" s="4">
        <v>14.119</v>
      </c>
      <c r="M677" s="4">
        <v>5.1860999999999997E-2</v>
      </c>
      <c r="N677" s="4" t="s">
        <v>20</v>
      </c>
    </row>
    <row r="678" spans="1:14" ht="17" x14ac:dyDescent="0.35">
      <c r="A678" s="15">
        <v>125.61</v>
      </c>
      <c r="B678" s="16">
        <v>33.024999999999999</v>
      </c>
      <c r="C678" s="4">
        <v>8.1682000000000006</v>
      </c>
      <c r="D678" s="4">
        <v>0.12243</v>
      </c>
      <c r="E678" s="4">
        <v>0.97301000000000004</v>
      </c>
      <c r="F678" s="4">
        <v>1.3773</v>
      </c>
      <c r="G678" s="4">
        <v>122.59</v>
      </c>
      <c r="H678" s="4">
        <v>42.866999999999997</v>
      </c>
      <c r="I678" s="4">
        <v>1409.2</v>
      </c>
      <c r="J678" s="4">
        <v>155.18</v>
      </c>
      <c r="K678" s="4">
        <v>0.78583000000000003</v>
      </c>
      <c r="L678" s="4">
        <v>14.241</v>
      </c>
      <c r="M678" s="4">
        <v>5.3810999999999998E-2</v>
      </c>
      <c r="N678" s="4" t="s">
        <v>20</v>
      </c>
    </row>
    <row r="679" spans="1:14" ht="17" x14ac:dyDescent="0.35">
      <c r="A679" s="15">
        <v>125.68</v>
      </c>
      <c r="B679" s="16">
        <v>33.125</v>
      </c>
      <c r="C679" s="4">
        <v>8.2842000000000002</v>
      </c>
      <c r="D679" s="4">
        <v>0.12071</v>
      </c>
      <c r="E679" s="4">
        <v>0.95489000000000002</v>
      </c>
      <c r="F679" s="4">
        <v>1.3548</v>
      </c>
      <c r="G679" s="4">
        <v>122.4</v>
      </c>
      <c r="H679" s="4">
        <v>43.405999999999999</v>
      </c>
      <c r="I679" s="4">
        <v>1589.9</v>
      </c>
      <c r="J679" s="4">
        <v>154.4</v>
      </c>
      <c r="K679" s="4">
        <v>0.77629000000000004</v>
      </c>
      <c r="L679" s="4">
        <v>14.372</v>
      </c>
      <c r="M679" s="4">
        <v>5.6064000000000003E-2</v>
      </c>
      <c r="N679" s="4" t="s">
        <v>20</v>
      </c>
    </row>
    <row r="680" spans="1:14" ht="17" x14ac:dyDescent="0.35">
      <c r="A680" s="15">
        <v>125.74</v>
      </c>
      <c r="B680" s="16">
        <v>33.225000000000001</v>
      </c>
      <c r="C680" s="4">
        <v>8.4093</v>
      </c>
      <c r="D680" s="4">
        <v>0.11892</v>
      </c>
      <c r="E680" s="4">
        <v>0.93532999999999999</v>
      </c>
      <c r="F680" s="4">
        <v>1.3304</v>
      </c>
      <c r="G680" s="4">
        <v>122.19</v>
      </c>
      <c r="H680" s="4">
        <v>43.999000000000002</v>
      </c>
      <c r="I680" s="4">
        <v>1821.9</v>
      </c>
      <c r="J680" s="4">
        <v>153.54</v>
      </c>
      <c r="K680" s="4">
        <v>0.76619999999999999</v>
      </c>
      <c r="L680" s="4">
        <v>14.516</v>
      </c>
      <c r="M680" s="4">
        <v>5.8716999999999998E-2</v>
      </c>
      <c r="N680" s="4" t="s">
        <v>20</v>
      </c>
    </row>
    <row r="681" spans="1:14" ht="17" x14ac:dyDescent="0.35">
      <c r="A681" s="15">
        <v>125.8</v>
      </c>
      <c r="B681" s="16">
        <v>33.325000000000003</v>
      </c>
      <c r="C681" s="4">
        <v>8.5458999999999996</v>
      </c>
      <c r="D681" s="4">
        <v>0.11702</v>
      </c>
      <c r="E681" s="4">
        <v>0.91396999999999995</v>
      </c>
      <c r="F681" s="4">
        <v>1.3039000000000001</v>
      </c>
      <c r="G681" s="4">
        <v>121.97</v>
      </c>
      <c r="H681" s="4">
        <v>44.655999999999999</v>
      </c>
      <c r="I681" s="4">
        <v>2129.9</v>
      </c>
      <c r="J681" s="4">
        <v>152.58000000000001</v>
      </c>
      <c r="K681" s="4">
        <v>0.75544999999999995</v>
      </c>
      <c r="L681" s="4">
        <v>14.675000000000001</v>
      </c>
      <c r="M681" s="4">
        <v>6.1917E-2</v>
      </c>
      <c r="N681" s="4" t="s">
        <v>20</v>
      </c>
    </row>
    <row r="682" spans="1:14" ht="17" x14ac:dyDescent="0.35">
      <c r="A682" s="15">
        <v>125.86</v>
      </c>
      <c r="B682" s="16">
        <v>33.424999999999997</v>
      </c>
      <c r="C682" s="4">
        <v>8.6968999999999994</v>
      </c>
      <c r="D682" s="4">
        <v>0.11498</v>
      </c>
      <c r="E682" s="4">
        <v>0.89032999999999995</v>
      </c>
      <c r="F682" s="4">
        <v>1.2746999999999999</v>
      </c>
      <c r="G682" s="4">
        <v>121.73</v>
      </c>
      <c r="H682" s="4">
        <v>45.395000000000003</v>
      </c>
      <c r="I682" s="4">
        <v>2558.4</v>
      </c>
      <c r="J682" s="4">
        <v>151.49</v>
      </c>
      <c r="K682" s="4">
        <v>0.74387999999999999</v>
      </c>
      <c r="L682" s="4">
        <v>14.853</v>
      </c>
      <c r="M682" s="4">
        <v>6.5902000000000002E-2</v>
      </c>
      <c r="N682" s="4" t="s">
        <v>20</v>
      </c>
    </row>
    <row r="683" spans="1:14" ht="17" x14ac:dyDescent="0.35">
      <c r="A683" s="15">
        <v>125.93</v>
      </c>
      <c r="B683" s="16">
        <v>33.524999999999999</v>
      </c>
      <c r="C683" s="4">
        <v>8.8674999999999997</v>
      </c>
      <c r="D683" s="4">
        <v>0.11277</v>
      </c>
      <c r="E683" s="4">
        <v>0.86363000000000001</v>
      </c>
      <c r="F683" s="4">
        <v>1.2417</v>
      </c>
      <c r="G683" s="4">
        <v>121.46</v>
      </c>
      <c r="H683" s="4">
        <v>46.237000000000002</v>
      </c>
      <c r="I683" s="4">
        <v>3193.7</v>
      </c>
      <c r="J683" s="4">
        <v>150.22999999999999</v>
      </c>
      <c r="K683" s="4">
        <v>0.73124</v>
      </c>
      <c r="L683" s="4">
        <v>15.058</v>
      </c>
      <c r="M683" s="4">
        <v>7.1092000000000002E-2</v>
      </c>
      <c r="N683" s="4" t="s">
        <v>20</v>
      </c>
    </row>
    <row r="684" spans="1:14" ht="17" x14ac:dyDescent="0.35">
      <c r="A684" s="15">
        <v>125.99</v>
      </c>
      <c r="B684" s="16">
        <v>33.625</v>
      </c>
      <c r="C684" s="4">
        <v>9.0661000000000005</v>
      </c>
      <c r="D684" s="4">
        <v>0.1103</v>
      </c>
      <c r="E684" s="4">
        <v>0.83257999999999999</v>
      </c>
      <c r="F684" s="4">
        <v>1.2035</v>
      </c>
      <c r="G684" s="4">
        <v>121.15</v>
      </c>
      <c r="H684" s="4">
        <v>47.222000000000001</v>
      </c>
      <c r="I684" s="4">
        <v>4229.3</v>
      </c>
      <c r="J684" s="4">
        <v>148.72999999999999</v>
      </c>
      <c r="K684" s="4">
        <v>0.71711000000000003</v>
      </c>
      <c r="L684" s="4">
        <v>15.302</v>
      </c>
      <c r="M684" s="4">
        <v>7.8317999999999999E-2</v>
      </c>
      <c r="N684" s="4" t="s">
        <v>20</v>
      </c>
    </row>
    <row r="685" spans="1:14" ht="17" x14ac:dyDescent="0.35">
      <c r="A685" s="15">
        <v>126.05</v>
      </c>
      <c r="B685" s="16">
        <v>33.725000000000001</v>
      </c>
      <c r="C685" s="4">
        <v>9.3091000000000008</v>
      </c>
      <c r="D685" s="4">
        <v>0.10742</v>
      </c>
      <c r="E685" s="4">
        <v>0.79466999999999999</v>
      </c>
      <c r="F685" s="4">
        <v>1.157</v>
      </c>
      <c r="G685" s="4">
        <v>120.77</v>
      </c>
      <c r="H685" s="4">
        <v>48.414999999999999</v>
      </c>
      <c r="I685" s="4">
        <v>6205</v>
      </c>
      <c r="J685" s="4">
        <v>146.85</v>
      </c>
      <c r="K685" s="4">
        <v>0.70072999999999996</v>
      </c>
      <c r="L685" s="4">
        <v>15.608000000000001</v>
      </c>
      <c r="M685" s="4">
        <v>8.9559E-2</v>
      </c>
      <c r="N685" s="4" t="s">
        <v>20</v>
      </c>
    </row>
    <row r="686" spans="1:14" ht="17" x14ac:dyDescent="0.35">
      <c r="A686" s="15">
        <v>126.11</v>
      </c>
      <c r="B686" s="16">
        <v>33.825000000000003</v>
      </c>
      <c r="C686" s="4">
        <v>9.6379000000000001</v>
      </c>
      <c r="D686" s="4">
        <v>0.10376000000000001</v>
      </c>
      <c r="E686" s="4">
        <v>0.74368000000000001</v>
      </c>
      <c r="F686" s="4">
        <v>1.0946</v>
      </c>
      <c r="G686" s="4">
        <v>120.27</v>
      </c>
      <c r="H686" s="4">
        <v>49.954000000000001</v>
      </c>
      <c r="I686" s="4">
        <v>11377</v>
      </c>
      <c r="J686" s="4">
        <v>144.29</v>
      </c>
      <c r="K686" s="4">
        <v>0.68023999999999996</v>
      </c>
      <c r="L686" s="4">
        <v>16.035</v>
      </c>
      <c r="M686" s="4">
        <v>0.1114</v>
      </c>
      <c r="N686" s="4" t="s">
        <v>20</v>
      </c>
    </row>
    <row r="687" spans="1:14" ht="17" x14ac:dyDescent="0.35">
      <c r="A687" s="15">
        <v>126.17</v>
      </c>
      <c r="B687" s="16">
        <v>33.924999999999997</v>
      </c>
      <c r="C687" s="4">
        <v>10.25</v>
      </c>
      <c r="D687" s="4">
        <v>9.7559999999999994E-2</v>
      </c>
      <c r="E687" s="4">
        <v>0.65034000000000003</v>
      </c>
      <c r="F687" s="4">
        <v>0.98131999999999997</v>
      </c>
      <c r="G687" s="4">
        <v>119.36</v>
      </c>
      <c r="H687" s="4" t="s">
        <v>18</v>
      </c>
      <c r="I687" s="4" t="s">
        <v>18</v>
      </c>
      <c r="J687" s="4" t="s">
        <v>18</v>
      </c>
      <c r="K687" s="4">
        <v>0.64739000000000002</v>
      </c>
      <c r="L687" s="4">
        <v>16.879000000000001</v>
      </c>
      <c r="M687" s="4" t="s">
        <v>18</v>
      </c>
      <c r="N687" s="4" t="s">
        <v>21</v>
      </c>
    </row>
  </sheetData>
  <mergeCells count="2">
    <mergeCell ref="A1:D1"/>
    <mergeCell ref="A3:D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7E1D9-DA76-4E20-B95F-1C99840FFF65}">
  <dimension ref="B1:L119"/>
  <sheetViews>
    <sheetView topLeftCell="D6" workbookViewId="0">
      <selection activeCell="H17" sqref="H17"/>
    </sheetView>
  </sheetViews>
  <sheetFormatPr defaultRowHeight="14.5" x14ac:dyDescent="0.35"/>
  <cols>
    <col min="1" max="1" width="14.26953125" customWidth="1"/>
    <col min="2" max="2" width="11.81640625" bestFit="1" customWidth="1"/>
    <col min="3" max="3" width="20.26953125" bestFit="1" customWidth="1"/>
    <col min="7" max="7" width="15.81640625" customWidth="1"/>
    <col min="8" max="8" width="11.26953125" customWidth="1"/>
    <col min="11" max="11" width="13.81640625" bestFit="1" customWidth="1"/>
    <col min="12" max="12" width="16.7265625" bestFit="1" customWidth="1"/>
  </cols>
  <sheetData>
    <row r="1" spans="2:12" ht="17" thickBot="1" x14ac:dyDescent="0.4">
      <c r="B1" s="36" t="s">
        <v>75</v>
      </c>
      <c r="C1" s="37" t="s">
        <v>76</v>
      </c>
      <c r="E1" s="117" t="s">
        <v>90</v>
      </c>
      <c r="F1" s="117"/>
      <c r="G1" s="117"/>
      <c r="H1" s="117"/>
      <c r="K1" t="s">
        <v>101</v>
      </c>
      <c r="L1" t="s">
        <v>97</v>
      </c>
    </row>
    <row r="2" spans="2:12" ht="15" thickBot="1" x14ac:dyDescent="0.4">
      <c r="B2" s="38">
        <v>1000</v>
      </c>
      <c r="C2" s="39">
        <v>1.6</v>
      </c>
      <c r="E2" s="118" t="s">
        <v>91</v>
      </c>
      <c r="F2" s="119"/>
      <c r="G2" s="120"/>
      <c r="H2" s="73">
        <v>1000</v>
      </c>
      <c r="K2">
        <v>10</v>
      </c>
      <c r="L2" s="69">
        <f>($G$9+$G$10*K2+$G$11*K2^2+$G$12*K2^3+$G$13*K2^4)*0.00001*$H$2</f>
        <v>-2.9859257020000003</v>
      </c>
    </row>
    <row r="3" spans="2:12" ht="15" thickBot="1" x14ac:dyDescent="0.4">
      <c r="B3" s="40">
        <v>1700</v>
      </c>
      <c r="C3" s="41">
        <v>1.4</v>
      </c>
      <c r="E3" s="118" t="s">
        <v>92</v>
      </c>
      <c r="F3" s="119"/>
      <c r="G3" s="119"/>
      <c r="H3" s="75">
        <v>98.493520000000004</v>
      </c>
      <c r="I3" s="75">
        <v>98.493520000000004</v>
      </c>
      <c r="K3">
        <v>11</v>
      </c>
      <c r="L3" s="69">
        <f t="shared" ref="L3:L66" si="0">($G$9+$G$10*K3+$G$11*K3^2+$G$12*K3^3+$G$13*K3^4)*0.00001*$H$2</f>
        <v>-2.9880721708001996</v>
      </c>
    </row>
    <row r="4" spans="2:12" x14ac:dyDescent="0.35">
      <c r="B4" s="40">
        <v>4000</v>
      </c>
      <c r="C4" s="41">
        <v>1.2</v>
      </c>
      <c r="E4" s="118" t="s">
        <v>93</v>
      </c>
      <c r="F4" s="119"/>
      <c r="G4" s="120"/>
      <c r="H4" s="74">
        <v>293</v>
      </c>
      <c r="K4">
        <v>12</v>
      </c>
      <c r="L4" s="69">
        <f t="shared" si="0"/>
        <v>-2.9900442632192004</v>
      </c>
    </row>
    <row r="5" spans="2:12" ht="15" thickBot="1" x14ac:dyDescent="0.4">
      <c r="B5" s="42">
        <v>10000</v>
      </c>
      <c r="C5" s="43">
        <v>1</v>
      </c>
      <c r="E5" s="118" t="s">
        <v>94</v>
      </c>
      <c r="F5" s="119"/>
      <c r="G5" s="120"/>
      <c r="H5" s="68" t="s">
        <v>82</v>
      </c>
      <c r="K5">
        <v>13</v>
      </c>
      <c r="L5" s="69">
        <f t="shared" si="0"/>
        <v>-2.9918431933042005</v>
      </c>
    </row>
    <row r="6" spans="2:12" ht="15" thickBot="1" x14ac:dyDescent="0.4">
      <c r="K6">
        <v>14</v>
      </c>
      <c r="L6" s="69">
        <f t="shared" si="0"/>
        <v>-2.9934701705952</v>
      </c>
    </row>
    <row r="7" spans="2:12" ht="33" customHeight="1" thickBot="1" x14ac:dyDescent="0.4">
      <c r="D7" s="67"/>
      <c r="E7" s="114" t="s">
        <v>89</v>
      </c>
      <c r="F7" s="115"/>
      <c r="G7" s="115"/>
      <c r="H7" s="116"/>
      <c r="K7">
        <v>15</v>
      </c>
      <c r="L7" s="69">
        <f t="shared" si="0"/>
        <v>-2.9949264001250002</v>
      </c>
    </row>
    <row r="8" spans="2:12" ht="15" thickBot="1" x14ac:dyDescent="0.4">
      <c r="E8" s="121" t="s">
        <v>83</v>
      </c>
      <c r="F8" s="122"/>
      <c r="G8" s="122" t="s">
        <v>82</v>
      </c>
      <c r="H8" s="123"/>
      <c r="K8">
        <v>16</v>
      </c>
      <c r="L8" s="69">
        <f t="shared" si="0"/>
        <v>-2.9962130824191995</v>
      </c>
    </row>
    <row r="9" spans="2:12" x14ac:dyDescent="0.35">
      <c r="E9" s="134" t="s">
        <v>84</v>
      </c>
      <c r="F9" s="135"/>
      <c r="G9" s="124">
        <v>-295.45999999999998</v>
      </c>
      <c r="H9" s="125"/>
      <c r="K9">
        <v>17</v>
      </c>
      <c r="L9" s="69">
        <f t="shared" si="0"/>
        <v>-2.9973314134962004</v>
      </c>
    </row>
    <row r="10" spans="2:12" x14ac:dyDescent="0.35">
      <c r="E10" s="140" t="s">
        <v>85</v>
      </c>
      <c r="F10" s="141"/>
      <c r="G10" s="126">
        <v>-0.40517999999999998</v>
      </c>
      <c r="H10" s="127"/>
      <c r="K10">
        <v>18</v>
      </c>
      <c r="L10" s="69">
        <f t="shared" si="0"/>
        <v>-2.9982825848672006</v>
      </c>
    </row>
    <row r="11" spans="2:12" x14ac:dyDescent="0.35">
      <c r="E11" s="136" t="s">
        <v>86</v>
      </c>
      <c r="F11" s="137"/>
      <c r="G11" s="128">
        <v>9.4014000000000007E-3</v>
      </c>
      <c r="H11" s="129"/>
      <c r="K11">
        <v>19</v>
      </c>
      <c r="L11" s="69">
        <f t="shared" si="0"/>
        <v>-2.9990677835362001</v>
      </c>
    </row>
    <row r="12" spans="2:12" x14ac:dyDescent="0.35">
      <c r="E12" s="140" t="s">
        <v>87</v>
      </c>
      <c r="F12" s="141"/>
      <c r="G12" s="126">
        <v>-2.1098E-5</v>
      </c>
      <c r="H12" s="127"/>
      <c r="K12">
        <v>20</v>
      </c>
      <c r="L12" s="69">
        <f t="shared" si="0"/>
        <v>-2.9996881919999998</v>
      </c>
    </row>
    <row r="13" spans="2:12" ht="15" thickBot="1" x14ac:dyDescent="0.4">
      <c r="E13" s="138" t="s">
        <v>88</v>
      </c>
      <c r="F13" s="139"/>
      <c r="G13" s="132">
        <v>1.878E-8</v>
      </c>
      <c r="H13" s="133"/>
      <c r="K13">
        <v>21</v>
      </c>
      <c r="L13" s="69">
        <f t="shared" si="0"/>
        <v>-3.0001449882482003</v>
      </c>
    </row>
    <row r="14" spans="2:12" x14ac:dyDescent="0.35">
      <c r="K14">
        <v>22</v>
      </c>
      <c r="L14" s="69">
        <f t="shared" si="0"/>
        <v>-3.0004393457631995</v>
      </c>
    </row>
    <row r="15" spans="2:12" x14ac:dyDescent="0.35">
      <c r="E15" s="130" t="s">
        <v>95</v>
      </c>
      <c r="F15" s="130"/>
      <c r="G15" s="130"/>
      <c r="H15" s="130"/>
      <c r="K15">
        <v>23</v>
      </c>
      <c r="L15" s="69">
        <f t="shared" si="0"/>
        <v>-3.0005724335201998</v>
      </c>
    </row>
    <row r="16" spans="2:12" x14ac:dyDescent="0.35">
      <c r="E16" s="131" t="s">
        <v>96</v>
      </c>
      <c r="F16" s="131"/>
      <c r="G16" s="131"/>
      <c r="H16" s="71">
        <f>($G$9+$G$10*H3+$G$11*H3^2+$G$12*H3^3+$G$13*H3^4)*0.00001</f>
        <v>-2.6255628832711889E-3</v>
      </c>
      <c r="K16">
        <v>24</v>
      </c>
      <c r="L16" s="69">
        <f t="shared" si="0"/>
        <v>-3.0005454159871996</v>
      </c>
    </row>
    <row r="17" spans="5:12" x14ac:dyDescent="0.35">
      <c r="E17" s="131" t="s">
        <v>104</v>
      </c>
      <c r="F17" s="131"/>
      <c r="G17" s="131"/>
      <c r="H17" s="92">
        <f>ABS(H16*H2)</f>
        <v>2.625562883271189</v>
      </c>
      <c r="K17">
        <v>25</v>
      </c>
      <c r="L17" s="69">
        <f t="shared" si="0"/>
        <v>-3.0003594531250002</v>
      </c>
    </row>
    <row r="18" spans="5:12" x14ac:dyDescent="0.35">
      <c r="K18">
        <v>26</v>
      </c>
      <c r="L18" s="69">
        <f t="shared" si="0"/>
        <v>-3.0000157003872001</v>
      </c>
    </row>
    <row r="19" spans="5:12" x14ac:dyDescent="0.35">
      <c r="K19">
        <v>27</v>
      </c>
      <c r="L19" s="69">
        <f t="shared" si="0"/>
        <v>-2.9995153087201998</v>
      </c>
    </row>
    <row r="20" spans="5:12" x14ac:dyDescent="0.35">
      <c r="K20">
        <v>28</v>
      </c>
      <c r="L20" s="69">
        <f t="shared" si="0"/>
        <v>-2.9988594245631996</v>
      </c>
    </row>
    <row r="21" spans="5:12" x14ac:dyDescent="0.35">
      <c r="K21">
        <v>29</v>
      </c>
      <c r="L21" s="69">
        <f t="shared" si="0"/>
        <v>-2.9980491898481998</v>
      </c>
    </row>
    <row r="22" spans="5:12" x14ac:dyDescent="0.35">
      <c r="K22">
        <v>30</v>
      </c>
      <c r="L22" s="69">
        <f t="shared" si="0"/>
        <v>-2.9970857419999999</v>
      </c>
    </row>
    <row r="23" spans="5:12" x14ac:dyDescent="0.35">
      <c r="K23">
        <v>31</v>
      </c>
      <c r="L23" s="69">
        <f t="shared" si="0"/>
        <v>-2.9959702139362001</v>
      </c>
    </row>
    <row r="24" spans="5:12" x14ac:dyDescent="0.35">
      <c r="K24">
        <v>32</v>
      </c>
      <c r="L24" s="69">
        <f t="shared" si="0"/>
        <v>-2.9947037340672003</v>
      </c>
    </row>
    <row r="25" spans="5:12" x14ac:dyDescent="0.35">
      <c r="K25">
        <v>33</v>
      </c>
      <c r="L25" s="69">
        <f t="shared" si="0"/>
        <v>-2.9932874262962006</v>
      </c>
    </row>
    <row r="26" spans="5:12" x14ac:dyDescent="0.35">
      <c r="K26">
        <v>34</v>
      </c>
      <c r="L26" s="69">
        <f t="shared" si="0"/>
        <v>-2.9917224100192001</v>
      </c>
    </row>
    <row r="27" spans="5:12" x14ac:dyDescent="0.35">
      <c r="K27">
        <v>35</v>
      </c>
      <c r="L27" s="69">
        <f t="shared" si="0"/>
        <v>-2.9900098001250002</v>
      </c>
    </row>
    <row r="28" spans="5:12" x14ac:dyDescent="0.35">
      <c r="K28">
        <v>36</v>
      </c>
      <c r="L28" s="69">
        <f t="shared" si="0"/>
        <v>-2.9881507069951998</v>
      </c>
    </row>
    <row r="29" spans="5:12" x14ac:dyDescent="0.35">
      <c r="K29">
        <v>37</v>
      </c>
      <c r="L29" s="69">
        <f t="shared" si="0"/>
        <v>-2.9861462365042</v>
      </c>
    </row>
    <row r="30" spans="5:12" x14ac:dyDescent="0.35">
      <c r="K30">
        <v>38</v>
      </c>
      <c r="L30" s="69">
        <f t="shared" si="0"/>
        <v>-2.9839974900192003</v>
      </c>
    </row>
    <row r="31" spans="5:12" x14ac:dyDescent="0.35">
      <c r="K31">
        <v>39</v>
      </c>
      <c r="L31" s="69">
        <f t="shared" si="0"/>
        <v>-2.9817055644002011</v>
      </c>
    </row>
    <row r="32" spans="5:12" x14ac:dyDescent="0.35">
      <c r="K32">
        <v>40</v>
      </c>
      <c r="L32" s="69">
        <f t="shared" si="0"/>
        <v>-2.9792715520000002</v>
      </c>
    </row>
    <row r="33" spans="11:12" x14ac:dyDescent="0.35">
      <c r="K33">
        <v>41</v>
      </c>
      <c r="L33" s="69">
        <f t="shared" si="0"/>
        <v>-2.9766965406641996</v>
      </c>
    </row>
    <row r="34" spans="11:12" x14ac:dyDescent="0.35">
      <c r="K34">
        <v>42</v>
      </c>
      <c r="L34" s="69">
        <f t="shared" si="0"/>
        <v>-2.9739816137311998</v>
      </c>
    </row>
    <row r="35" spans="11:12" x14ac:dyDescent="0.35">
      <c r="K35">
        <v>43</v>
      </c>
      <c r="L35" s="69">
        <f t="shared" si="0"/>
        <v>-2.9711278500322003</v>
      </c>
    </row>
    <row r="36" spans="11:12" x14ac:dyDescent="0.35">
      <c r="K36">
        <v>44</v>
      </c>
      <c r="L36" s="69">
        <f t="shared" si="0"/>
        <v>-2.9681363238912</v>
      </c>
    </row>
    <row r="37" spans="11:12" x14ac:dyDescent="0.35">
      <c r="K37">
        <v>45</v>
      </c>
      <c r="L37" s="69">
        <f t="shared" si="0"/>
        <v>-2.9650081051250003</v>
      </c>
    </row>
    <row r="38" spans="11:12" x14ac:dyDescent="0.35">
      <c r="K38">
        <v>46</v>
      </c>
      <c r="L38" s="69">
        <f t="shared" si="0"/>
        <v>-2.9617442590432002</v>
      </c>
    </row>
    <row r="39" spans="11:12" x14ac:dyDescent="0.35">
      <c r="K39">
        <v>47</v>
      </c>
      <c r="L39" s="69">
        <f t="shared" si="0"/>
        <v>-2.9583458464482</v>
      </c>
    </row>
    <row r="40" spans="11:12" x14ac:dyDescent="0.35">
      <c r="K40">
        <v>48</v>
      </c>
      <c r="L40" s="69">
        <f t="shared" si="0"/>
        <v>-2.9548139236351996</v>
      </c>
    </row>
    <row r="41" spans="11:12" x14ac:dyDescent="0.35">
      <c r="K41">
        <v>49</v>
      </c>
      <c r="L41" s="69">
        <f t="shared" si="0"/>
        <v>-2.9511495423922005</v>
      </c>
    </row>
    <row r="42" spans="11:12" x14ac:dyDescent="0.35">
      <c r="K42">
        <v>50</v>
      </c>
      <c r="L42" s="69">
        <f t="shared" si="0"/>
        <v>-2.9473537500000009</v>
      </c>
    </row>
    <row r="43" spans="11:12" x14ac:dyDescent="0.35">
      <c r="K43">
        <v>51</v>
      </c>
      <c r="L43" s="69">
        <f t="shared" si="0"/>
        <v>-2.9434275892321997</v>
      </c>
    </row>
    <row r="44" spans="11:12" x14ac:dyDescent="0.35">
      <c r="K44">
        <v>52</v>
      </c>
      <c r="L44" s="69">
        <f t="shared" si="0"/>
        <v>-2.9393720983551996</v>
      </c>
    </row>
    <row r="45" spans="11:12" x14ac:dyDescent="0.35">
      <c r="K45">
        <v>53</v>
      </c>
      <c r="L45" s="69">
        <f t="shared" si="0"/>
        <v>-2.9351883111281998</v>
      </c>
    </row>
    <row r="46" spans="11:12" x14ac:dyDescent="0.35">
      <c r="K46">
        <v>54</v>
      </c>
      <c r="L46" s="69">
        <f t="shared" si="0"/>
        <v>-2.9308772568032002</v>
      </c>
    </row>
    <row r="47" spans="11:12" x14ac:dyDescent="0.35">
      <c r="K47">
        <v>55</v>
      </c>
      <c r="L47" s="69">
        <f t="shared" si="0"/>
        <v>-2.9264399601250002</v>
      </c>
    </row>
    <row r="48" spans="11:12" x14ac:dyDescent="0.35">
      <c r="K48">
        <v>56</v>
      </c>
      <c r="L48" s="69">
        <f t="shared" si="0"/>
        <v>-2.9218774413311999</v>
      </c>
    </row>
    <row r="49" spans="11:12" x14ac:dyDescent="0.35">
      <c r="K49">
        <v>57</v>
      </c>
      <c r="L49" s="69">
        <f t="shared" si="0"/>
        <v>-2.9171907161521995</v>
      </c>
    </row>
    <row r="50" spans="11:12" x14ac:dyDescent="0.35">
      <c r="K50">
        <v>58</v>
      </c>
      <c r="L50" s="69">
        <f t="shared" si="0"/>
        <v>-2.9123807958111998</v>
      </c>
    </row>
    <row r="51" spans="11:12" x14ac:dyDescent="0.35">
      <c r="K51">
        <v>59</v>
      </c>
      <c r="L51" s="69">
        <f t="shared" si="0"/>
        <v>-2.9074486870242002</v>
      </c>
    </row>
    <row r="52" spans="11:12" x14ac:dyDescent="0.35">
      <c r="K52">
        <v>60</v>
      </c>
      <c r="L52" s="69">
        <f t="shared" si="0"/>
        <v>-2.9023953920000003</v>
      </c>
    </row>
    <row r="53" spans="11:12" x14ac:dyDescent="0.35">
      <c r="K53">
        <v>61</v>
      </c>
      <c r="L53" s="69">
        <f t="shared" si="0"/>
        <v>-2.8972219084402</v>
      </c>
    </row>
    <row r="54" spans="11:12" x14ac:dyDescent="0.35">
      <c r="K54">
        <v>62</v>
      </c>
      <c r="L54" s="69">
        <f t="shared" si="0"/>
        <v>-2.891929229539199</v>
      </c>
    </row>
    <row r="55" spans="11:12" x14ac:dyDescent="0.35">
      <c r="K55">
        <v>63</v>
      </c>
      <c r="L55" s="69">
        <f t="shared" si="0"/>
        <v>-2.8865183439842004</v>
      </c>
    </row>
    <row r="56" spans="11:12" x14ac:dyDescent="0.35">
      <c r="K56">
        <v>64</v>
      </c>
      <c r="L56" s="69">
        <f t="shared" si="0"/>
        <v>-2.8809902359552</v>
      </c>
    </row>
    <row r="57" spans="11:12" x14ac:dyDescent="0.35">
      <c r="K57">
        <v>65</v>
      </c>
      <c r="L57" s="69">
        <f t="shared" si="0"/>
        <v>-2.8753458851249998</v>
      </c>
    </row>
    <row r="58" spans="11:12" x14ac:dyDescent="0.35">
      <c r="K58">
        <v>66</v>
      </c>
      <c r="L58" s="69">
        <f t="shared" si="0"/>
        <v>-2.8695862666591991</v>
      </c>
    </row>
    <row r="59" spans="11:12" x14ac:dyDescent="0.35">
      <c r="K59">
        <v>67</v>
      </c>
      <c r="L59" s="69">
        <f t="shared" si="0"/>
        <v>-2.8637123512162006</v>
      </c>
    </row>
    <row r="60" spans="11:12" x14ac:dyDescent="0.35">
      <c r="K60">
        <v>68</v>
      </c>
      <c r="L60" s="69">
        <f t="shared" si="0"/>
        <v>-2.8577251049471997</v>
      </c>
    </row>
    <row r="61" spans="11:12" x14ac:dyDescent="0.35">
      <c r="K61">
        <v>69</v>
      </c>
      <c r="L61" s="69">
        <f t="shared" si="0"/>
        <v>-2.8516254894961999</v>
      </c>
    </row>
    <row r="62" spans="11:12" x14ac:dyDescent="0.35">
      <c r="K62">
        <v>70</v>
      </c>
      <c r="L62" s="69">
        <f t="shared" si="0"/>
        <v>-2.8454144619999995</v>
      </c>
    </row>
    <row r="63" spans="11:12" x14ac:dyDescent="0.35">
      <c r="K63">
        <v>71</v>
      </c>
      <c r="L63" s="69">
        <f t="shared" si="0"/>
        <v>-2.8390929750881999</v>
      </c>
    </row>
    <row r="64" spans="11:12" x14ac:dyDescent="0.35">
      <c r="K64">
        <v>72</v>
      </c>
      <c r="L64" s="69">
        <f t="shared" si="0"/>
        <v>-2.8326619768831995</v>
      </c>
    </row>
    <row r="65" spans="11:12" x14ac:dyDescent="0.35">
      <c r="K65">
        <v>73</v>
      </c>
      <c r="L65" s="69">
        <f t="shared" si="0"/>
        <v>-2.8261224110001999</v>
      </c>
    </row>
    <row r="66" spans="11:12" x14ac:dyDescent="0.35">
      <c r="K66">
        <v>74</v>
      </c>
      <c r="L66" s="69">
        <f t="shared" si="0"/>
        <v>-2.8194752165471999</v>
      </c>
    </row>
    <row r="67" spans="11:12" x14ac:dyDescent="0.35">
      <c r="K67">
        <v>75</v>
      </c>
      <c r="L67" s="69">
        <f t="shared" ref="L67:L119" si="1">($G$9+$G$10*K67+$G$11*K67^2+$G$12*K67^3+$G$13*K67^4)*0.00001*$H$2</f>
        <v>-2.8127213281249999</v>
      </c>
    </row>
    <row r="68" spans="11:12" x14ac:dyDescent="0.35">
      <c r="K68">
        <v>76</v>
      </c>
      <c r="L68" s="69">
        <f t="shared" si="1"/>
        <v>-2.8058616758272001</v>
      </c>
    </row>
    <row r="69" spans="11:12" x14ac:dyDescent="0.35">
      <c r="K69">
        <v>77</v>
      </c>
      <c r="L69" s="69">
        <f t="shared" si="1"/>
        <v>-2.7988971852401998</v>
      </c>
    </row>
    <row r="70" spans="11:12" x14ac:dyDescent="0.35">
      <c r="K70">
        <v>78</v>
      </c>
      <c r="L70" s="69">
        <f t="shared" si="1"/>
        <v>-2.7918287774431998</v>
      </c>
    </row>
    <row r="71" spans="11:12" x14ac:dyDescent="0.35">
      <c r="K71">
        <v>79</v>
      </c>
      <c r="L71" s="69">
        <f t="shared" si="1"/>
        <v>-2.7846573690081997</v>
      </c>
    </row>
    <row r="72" spans="11:12" x14ac:dyDescent="0.35">
      <c r="K72">
        <v>80</v>
      </c>
      <c r="L72" s="69">
        <f t="shared" si="1"/>
        <v>-2.7773838719999997</v>
      </c>
    </row>
    <row r="73" spans="11:12" x14ac:dyDescent="0.35">
      <c r="K73">
        <v>81</v>
      </c>
      <c r="L73" s="69">
        <f t="shared" si="1"/>
        <v>-2.7700091939762004</v>
      </c>
    </row>
    <row r="74" spans="11:12" x14ac:dyDescent="0.35">
      <c r="K74">
        <v>82</v>
      </c>
      <c r="L74" s="69">
        <f t="shared" si="1"/>
        <v>-2.7625342379872002</v>
      </c>
    </row>
    <row r="75" spans="11:12" x14ac:dyDescent="0.35">
      <c r="K75">
        <v>83</v>
      </c>
      <c r="L75" s="69">
        <f t="shared" si="1"/>
        <v>-2.7549599025762004</v>
      </c>
    </row>
    <row r="76" spans="11:12" x14ac:dyDescent="0.35">
      <c r="K76">
        <v>84</v>
      </c>
      <c r="L76" s="69">
        <f t="shared" si="1"/>
        <v>-2.7472870817792003</v>
      </c>
    </row>
    <row r="77" spans="11:12" x14ac:dyDescent="0.35">
      <c r="K77">
        <v>85</v>
      </c>
      <c r="L77" s="69">
        <f t="shared" si="1"/>
        <v>-2.7395166651249996</v>
      </c>
    </row>
    <row r="78" spans="11:12" x14ac:dyDescent="0.35">
      <c r="K78">
        <v>86</v>
      </c>
      <c r="L78" s="69">
        <f t="shared" si="1"/>
        <v>-2.7316495376352008</v>
      </c>
    </row>
    <row r="79" spans="11:12" x14ac:dyDescent="0.35">
      <c r="K79">
        <v>87</v>
      </c>
      <c r="L79" s="69">
        <f t="shared" si="1"/>
        <v>-2.7236865798242</v>
      </c>
    </row>
    <row r="80" spans="11:12" x14ac:dyDescent="0.35">
      <c r="K80">
        <v>88</v>
      </c>
      <c r="L80" s="69">
        <f t="shared" si="1"/>
        <v>-2.7156286676991996</v>
      </c>
    </row>
    <row r="81" spans="11:12" x14ac:dyDescent="0.35">
      <c r="K81">
        <v>89</v>
      </c>
      <c r="L81" s="69">
        <f t="shared" si="1"/>
        <v>-2.7074766727601993</v>
      </c>
    </row>
    <row r="82" spans="11:12" x14ac:dyDescent="0.35">
      <c r="K82">
        <v>90</v>
      </c>
      <c r="L82" s="69">
        <f t="shared" si="1"/>
        <v>-2.6992314620000006</v>
      </c>
    </row>
    <row r="83" spans="11:12" x14ac:dyDescent="0.35">
      <c r="K83">
        <v>91</v>
      </c>
      <c r="L83" s="69">
        <f t="shared" si="1"/>
        <v>-2.6908938979041994</v>
      </c>
    </row>
    <row r="84" spans="11:12" x14ac:dyDescent="0.35">
      <c r="K84">
        <v>92</v>
      </c>
      <c r="L84" s="69">
        <f t="shared" si="1"/>
        <v>-2.6824648384512004</v>
      </c>
    </row>
    <row r="85" spans="11:12" x14ac:dyDescent="0.35">
      <c r="K85">
        <v>93</v>
      </c>
      <c r="L85" s="69">
        <f t="shared" si="1"/>
        <v>-2.6739451371121996</v>
      </c>
    </row>
    <row r="86" spans="11:12" x14ac:dyDescent="0.35">
      <c r="K86">
        <v>94</v>
      </c>
      <c r="L86" s="69">
        <f t="shared" si="1"/>
        <v>-2.6653356428512001</v>
      </c>
    </row>
    <row r="87" spans="11:12" x14ac:dyDescent="0.35">
      <c r="K87">
        <v>95</v>
      </c>
      <c r="L87" s="69">
        <f t="shared" si="1"/>
        <v>-2.6566372001249996</v>
      </c>
    </row>
    <row r="88" spans="11:12" x14ac:dyDescent="0.35">
      <c r="K88">
        <v>96</v>
      </c>
      <c r="L88" s="69">
        <f t="shared" si="1"/>
        <v>-2.6478506488831997</v>
      </c>
    </row>
    <row r="89" spans="11:12" x14ac:dyDescent="0.35">
      <c r="K89">
        <v>97</v>
      </c>
      <c r="L89" s="69">
        <f t="shared" si="1"/>
        <v>-2.6389768245681995</v>
      </c>
    </row>
    <row r="90" spans="11:12" x14ac:dyDescent="0.35">
      <c r="K90">
        <v>98</v>
      </c>
      <c r="L90" s="69">
        <f t="shared" si="1"/>
        <v>-2.6300165581152002</v>
      </c>
    </row>
    <row r="91" spans="11:12" x14ac:dyDescent="0.35">
      <c r="K91">
        <v>99</v>
      </c>
      <c r="L91" s="69">
        <f t="shared" si="1"/>
        <v>-2.6209706759521998</v>
      </c>
    </row>
    <row r="92" spans="11:12" x14ac:dyDescent="0.35">
      <c r="K92">
        <v>100</v>
      </c>
      <c r="L92" s="69">
        <f t="shared" si="1"/>
        <v>-2.6118399999999999</v>
      </c>
    </row>
    <row r="93" spans="11:12" x14ac:dyDescent="0.35">
      <c r="K93">
        <v>101</v>
      </c>
      <c r="L93" s="69">
        <f t="shared" si="1"/>
        <v>-2.6026253476722006</v>
      </c>
    </row>
    <row r="94" spans="11:12" x14ac:dyDescent="0.35">
      <c r="K94">
        <v>102</v>
      </c>
      <c r="L94" s="69">
        <f t="shared" si="1"/>
        <v>-2.5933275318751998</v>
      </c>
    </row>
    <row r="95" spans="11:12" x14ac:dyDescent="0.35">
      <c r="K95">
        <v>103</v>
      </c>
      <c r="L95" s="69">
        <f t="shared" si="1"/>
        <v>-2.5839473610082004</v>
      </c>
    </row>
    <row r="96" spans="11:12" x14ac:dyDescent="0.35">
      <c r="K96">
        <v>104</v>
      </c>
      <c r="L96" s="69">
        <f t="shared" si="1"/>
        <v>-2.5744856389631998</v>
      </c>
    </row>
    <row r="97" spans="11:12" x14ac:dyDescent="0.35">
      <c r="K97">
        <v>105</v>
      </c>
      <c r="L97" s="69">
        <f t="shared" si="1"/>
        <v>-2.5649431651249999</v>
      </c>
    </row>
    <row r="98" spans="11:12" x14ac:dyDescent="0.35">
      <c r="K98">
        <v>106</v>
      </c>
      <c r="L98" s="69">
        <f t="shared" si="1"/>
        <v>-2.5553207343711994</v>
      </c>
    </row>
    <row r="99" spans="11:12" x14ac:dyDescent="0.35">
      <c r="K99">
        <v>107</v>
      </c>
      <c r="L99" s="69">
        <f t="shared" si="1"/>
        <v>-2.5456191370722001</v>
      </c>
    </row>
    <row r="100" spans="11:12" x14ac:dyDescent="0.35">
      <c r="K100">
        <v>108</v>
      </c>
      <c r="L100" s="69">
        <f t="shared" si="1"/>
        <v>-2.5358391590911995</v>
      </c>
    </row>
    <row r="101" spans="11:12" x14ac:dyDescent="0.35">
      <c r="K101">
        <v>109</v>
      </c>
      <c r="L101" s="69">
        <f t="shared" si="1"/>
        <v>-2.5259815817841997</v>
      </c>
    </row>
    <row r="102" spans="11:12" x14ac:dyDescent="0.35">
      <c r="K102">
        <v>110</v>
      </c>
      <c r="L102" s="69">
        <f t="shared" si="1"/>
        <v>-2.5160471819999999</v>
      </c>
    </row>
    <row r="103" spans="11:12" x14ac:dyDescent="0.35">
      <c r="K103">
        <v>111</v>
      </c>
      <c r="L103" s="69">
        <f t="shared" si="1"/>
        <v>-2.5060367320802004</v>
      </c>
    </row>
    <row r="104" spans="11:12" x14ac:dyDescent="0.35">
      <c r="K104">
        <v>112</v>
      </c>
      <c r="L104" s="69">
        <f t="shared" si="1"/>
        <v>-2.4959509998592</v>
      </c>
    </row>
    <row r="105" spans="11:12" x14ac:dyDescent="0.35">
      <c r="K105">
        <v>113</v>
      </c>
      <c r="L105" s="69">
        <f t="shared" si="1"/>
        <v>-2.4857907486642006</v>
      </c>
    </row>
    <row r="106" spans="11:12" x14ac:dyDescent="0.35">
      <c r="K106">
        <v>114</v>
      </c>
      <c r="L106" s="69">
        <f t="shared" si="1"/>
        <v>-2.4755567373151997</v>
      </c>
    </row>
    <row r="107" spans="11:12" x14ac:dyDescent="0.35">
      <c r="K107">
        <v>115</v>
      </c>
      <c r="L107" s="69">
        <f t="shared" si="1"/>
        <v>-2.4652497201250001</v>
      </c>
    </row>
    <row r="108" spans="11:12" x14ac:dyDescent="0.35">
      <c r="K108">
        <v>116</v>
      </c>
      <c r="L108" s="69">
        <f t="shared" si="1"/>
        <v>-2.4548704468992</v>
      </c>
    </row>
    <row r="109" spans="11:12" x14ac:dyDescent="0.35">
      <c r="K109">
        <v>117</v>
      </c>
      <c r="L109" s="69">
        <f t="shared" si="1"/>
        <v>-2.4444196629361996</v>
      </c>
    </row>
    <row r="110" spans="11:12" x14ac:dyDescent="0.35">
      <c r="K110">
        <v>118</v>
      </c>
      <c r="L110" s="69">
        <f t="shared" si="1"/>
        <v>-2.4338981090271994</v>
      </c>
    </row>
    <row r="111" spans="11:12" x14ac:dyDescent="0.35">
      <c r="K111">
        <v>119</v>
      </c>
      <c r="L111" s="69">
        <f t="shared" si="1"/>
        <v>-2.4233065214562002</v>
      </c>
    </row>
    <row r="112" spans="11:12" x14ac:dyDescent="0.35">
      <c r="K112">
        <v>120</v>
      </c>
      <c r="L112" s="69">
        <f t="shared" si="1"/>
        <v>-2.4126456319999998</v>
      </c>
    </row>
    <row r="113" spans="11:12" x14ac:dyDescent="0.35">
      <c r="K113">
        <v>121</v>
      </c>
      <c r="L113" s="69">
        <f t="shared" si="1"/>
        <v>-2.4019161679281997</v>
      </c>
    </row>
    <row r="114" spans="11:12" x14ac:dyDescent="0.35">
      <c r="K114">
        <v>122</v>
      </c>
      <c r="L114" s="69">
        <f t="shared" si="1"/>
        <v>-2.3911188520032001</v>
      </c>
    </row>
    <row r="115" spans="11:12" x14ac:dyDescent="0.35">
      <c r="K115">
        <v>123</v>
      </c>
      <c r="L115" s="69">
        <f t="shared" si="1"/>
        <v>-2.3802544024801997</v>
      </c>
    </row>
    <row r="116" spans="11:12" x14ac:dyDescent="0.35">
      <c r="K116">
        <v>124</v>
      </c>
      <c r="L116" s="69">
        <f t="shared" si="1"/>
        <v>-2.3693235331072002</v>
      </c>
    </row>
    <row r="117" spans="11:12" x14ac:dyDescent="0.35">
      <c r="K117">
        <v>125</v>
      </c>
      <c r="L117" s="69">
        <f t="shared" si="1"/>
        <v>-2.3583269531249993</v>
      </c>
    </row>
    <row r="118" spans="11:12" x14ac:dyDescent="0.35">
      <c r="K118">
        <v>126</v>
      </c>
      <c r="L118" s="69">
        <f t="shared" si="1"/>
        <v>-2.3472653672671995</v>
      </c>
    </row>
    <row r="119" spans="11:12" x14ac:dyDescent="0.35">
      <c r="K119">
        <v>127</v>
      </c>
      <c r="L119" s="69">
        <f t="shared" si="1"/>
        <v>-2.3361394757601994</v>
      </c>
    </row>
  </sheetData>
  <mergeCells count="21">
    <mergeCell ref="E15:H15"/>
    <mergeCell ref="E16:G16"/>
    <mergeCell ref="E17:G17"/>
    <mergeCell ref="G13:H13"/>
    <mergeCell ref="E9:F9"/>
    <mergeCell ref="E11:F11"/>
    <mergeCell ref="E13:F13"/>
    <mergeCell ref="E10:F10"/>
    <mergeCell ref="E12:F12"/>
    <mergeCell ref="E8:F8"/>
    <mergeCell ref="G8:H8"/>
    <mergeCell ref="G9:H9"/>
    <mergeCell ref="G10:H10"/>
    <mergeCell ref="G12:H12"/>
    <mergeCell ref="G11:H11"/>
    <mergeCell ref="E7:H7"/>
    <mergeCell ref="E1:H1"/>
    <mergeCell ref="E2:G2"/>
    <mergeCell ref="E3:G3"/>
    <mergeCell ref="E4:G4"/>
    <mergeCell ref="E5:G5"/>
  </mergeCells>
  <conditionalFormatting sqref="L1:L1048576">
    <cfRule type="colorScale" priority="1">
      <colorScale>
        <cfvo type="min"/>
        <cfvo type="max"/>
        <color rgb="FF63BE7B"/>
        <color rgb="FFFCFCFF"/>
      </colorScale>
    </cfRule>
  </conditionalFormatting>
  <dataValidations count="1">
    <dataValidation type="list" allowBlank="1" showInputMessage="1" showErrorMessage="1" sqref="H5" xr:uid="{0A939486-4BAF-4BCB-8B12-65D2A6E34852}">
      <formula1>G8:H8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Properties of LN2</vt:lpstr>
      <vt:lpstr>Vapor Data</vt:lpstr>
      <vt:lpstr>Alt LN2 Properties</vt:lpstr>
      <vt:lpstr>Constants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Jie Qii - CSM</dc:creator>
  <cp:lastModifiedBy>Jie Qii - CSM</cp:lastModifiedBy>
  <dcterms:created xsi:type="dcterms:W3CDTF">2026-08-05T00:06:18Z</dcterms:created>
  <dcterms:modified xsi:type="dcterms:W3CDTF">2026-09-10T08:18:57Z</dcterms:modified>
</cp:coreProperties>
</file>